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d56eb89965c5422/Escritorio/TFM_Final/results/2_models/metrics/"/>
    </mc:Choice>
  </mc:AlternateContent>
  <xr:revisionPtr revIDLastSave="25" documentId="11_2843A4FF3FAE89AFF5F91F096F255025C4061DC9" xr6:coauthVersionLast="47" xr6:coauthVersionMax="47" xr10:uidLastSave="{9AE50712-4A9F-4D51-81D0-EE7A1ED9A111}"/>
  <bookViews>
    <workbookView xWindow="1440" yWindow="1536" windowWidth="21600" windowHeight="11232" activeTab="2" xr2:uid="{00000000-000D-0000-FFFF-FFFF00000000}"/>
  </bookViews>
  <sheets>
    <sheet name="Sheet1" sheetId="1" r:id="rId1"/>
    <sheet name="Hoja1" sheetId="2" r:id="rId2"/>
    <sheet name="Hoja2" sheetId="3" r:id="rId3"/>
  </sheets>
  <definedNames>
    <definedName name="_xlnm._FilterDatabase" localSheetId="1" hidden="1">Hoja1!$A$1:$I$36</definedName>
    <definedName name="_xlnm._FilterDatabase" localSheetId="0" hidden="1">Sheet1!$A$1:$I$120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E11" i="3"/>
  <c r="E9" i="3"/>
  <c r="F9" i="3"/>
  <c r="G9" i="3"/>
  <c r="H9" i="3"/>
  <c r="D9" i="3"/>
</calcChain>
</file>

<file path=xl/sharedStrings.xml><?xml version="1.0" encoding="utf-8"?>
<sst xmlns="http://schemas.openxmlformats.org/spreadsheetml/2006/main" count="510" uniqueCount="26">
  <si>
    <t>Prompt</t>
  </si>
  <si>
    <t>Modelo</t>
  </si>
  <si>
    <t>Titulación</t>
  </si>
  <si>
    <t>Total preguntas</t>
  </si>
  <si>
    <t>Respondidas</t>
  </si>
  <si>
    <t>Aciertos</t>
  </si>
  <si>
    <t>Errores</t>
  </si>
  <si>
    <t>Sin respuesta</t>
  </si>
  <si>
    <t>Accuracy (%)</t>
  </si>
  <si>
    <t>1_no_prompt</t>
  </si>
  <si>
    <t>deepseek-coder</t>
  </si>
  <si>
    <t>BIOLOGÍA</t>
  </si>
  <si>
    <t>ENFERMERÍA</t>
  </si>
  <si>
    <t>FARMACIA</t>
  </si>
  <si>
    <t>FÍSICA</t>
  </si>
  <si>
    <t>MEDICINA</t>
  </si>
  <si>
    <t>PSICOLOGÍA</t>
  </si>
  <si>
    <t>QUÍMICA</t>
  </si>
  <si>
    <t>gemma</t>
  </si>
  <si>
    <t>llama3</t>
  </si>
  <si>
    <t>mistral</t>
  </si>
  <si>
    <t>phi3</t>
  </si>
  <si>
    <t>2_prompt_es</t>
  </si>
  <si>
    <t>deepseek</t>
  </si>
  <si>
    <t>4_prompt_en</t>
  </si>
  <si>
    <t>deepseek-llm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</si>
</sst>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20"/>
  <sheetViews>
    <sheetView topLeftCell="A17" workbookViewId="0">
      <selection sqref="A1:I36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1025</v>
      </c>
      <c r="E2">
        <v>75</v>
      </c>
      <c r="F2">
        <v>17</v>
      </c>
      <c r="G2">
        <v>58</v>
      </c>
      <c r="H2">
        <v>950</v>
      </c>
      <c r="I2">
        <v>22.67</v>
      </c>
    </row>
    <row r="3" spans="1:9" x14ac:dyDescent="0.3">
      <c r="A3" t="s">
        <v>9</v>
      </c>
      <c r="B3" t="s">
        <v>10</v>
      </c>
      <c r="C3" t="s">
        <v>12</v>
      </c>
      <c r="D3">
        <v>967</v>
      </c>
      <c r="E3">
        <v>82</v>
      </c>
      <c r="F3">
        <v>25</v>
      </c>
      <c r="G3">
        <v>57</v>
      </c>
      <c r="H3">
        <v>885</v>
      </c>
      <c r="I3">
        <v>30.49</v>
      </c>
    </row>
    <row r="4" spans="1:9" x14ac:dyDescent="0.3">
      <c r="A4" t="s">
        <v>9</v>
      </c>
      <c r="B4" t="s">
        <v>10</v>
      </c>
      <c r="C4" t="s">
        <v>13</v>
      </c>
      <c r="D4">
        <v>1025</v>
      </c>
      <c r="E4">
        <v>115</v>
      </c>
      <c r="F4">
        <v>34</v>
      </c>
      <c r="G4">
        <v>81</v>
      </c>
      <c r="H4">
        <v>910</v>
      </c>
      <c r="I4">
        <v>29.57</v>
      </c>
    </row>
    <row r="5" spans="1:9" x14ac:dyDescent="0.3">
      <c r="A5" t="s">
        <v>9</v>
      </c>
      <c r="B5" t="s">
        <v>10</v>
      </c>
      <c r="C5" t="s">
        <v>14</v>
      </c>
      <c r="D5">
        <v>1025</v>
      </c>
      <c r="E5">
        <v>557</v>
      </c>
      <c r="F5">
        <v>133</v>
      </c>
      <c r="G5">
        <v>424</v>
      </c>
      <c r="H5">
        <v>468</v>
      </c>
      <c r="I5">
        <v>23.88</v>
      </c>
    </row>
    <row r="6" spans="1:9" x14ac:dyDescent="0.3">
      <c r="A6" t="s">
        <v>9</v>
      </c>
      <c r="B6" t="s">
        <v>10</v>
      </c>
      <c r="C6" t="s">
        <v>15</v>
      </c>
      <c r="D6">
        <v>900</v>
      </c>
      <c r="E6">
        <v>27</v>
      </c>
      <c r="F6">
        <v>7</v>
      </c>
      <c r="G6">
        <v>20</v>
      </c>
      <c r="H6">
        <v>873</v>
      </c>
      <c r="I6">
        <v>25.93</v>
      </c>
    </row>
    <row r="7" spans="1:9" x14ac:dyDescent="0.3">
      <c r="A7" t="s">
        <v>9</v>
      </c>
      <c r="B7" t="s">
        <v>10</v>
      </c>
      <c r="C7" t="s">
        <v>16</v>
      </c>
      <c r="D7">
        <v>1025</v>
      </c>
      <c r="E7">
        <v>128</v>
      </c>
      <c r="F7">
        <v>33</v>
      </c>
      <c r="G7">
        <v>95</v>
      </c>
      <c r="H7">
        <v>897</v>
      </c>
      <c r="I7">
        <v>25.78</v>
      </c>
    </row>
    <row r="8" spans="1:9" x14ac:dyDescent="0.3">
      <c r="A8" t="s">
        <v>9</v>
      </c>
      <c r="B8" t="s">
        <v>10</v>
      </c>
      <c r="C8" t="s">
        <v>17</v>
      </c>
      <c r="D8">
        <v>1010</v>
      </c>
      <c r="E8">
        <v>186</v>
      </c>
      <c r="F8">
        <v>46</v>
      </c>
      <c r="G8">
        <v>140</v>
      </c>
      <c r="H8">
        <v>824</v>
      </c>
      <c r="I8">
        <v>24.73</v>
      </c>
    </row>
    <row r="9" spans="1:9" x14ac:dyDescent="0.3">
      <c r="A9" t="s">
        <v>9</v>
      </c>
      <c r="B9" t="s">
        <v>18</v>
      </c>
      <c r="C9" t="s">
        <v>11</v>
      </c>
      <c r="D9">
        <v>1025</v>
      </c>
      <c r="E9">
        <v>1017</v>
      </c>
      <c r="F9">
        <v>568</v>
      </c>
      <c r="G9">
        <v>449</v>
      </c>
      <c r="H9">
        <v>8</v>
      </c>
      <c r="I9">
        <v>55.85</v>
      </c>
    </row>
    <row r="10" spans="1:9" x14ac:dyDescent="0.3">
      <c r="A10" t="s">
        <v>9</v>
      </c>
      <c r="B10" t="s">
        <v>18</v>
      </c>
      <c r="C10" t="s">
        <v>12</v>
      </c>
      <c r="D10">
        <v>967</v>
      </c>
      <c r="E10">
        <v>911</v>
      </c>
      <c r="F10">
        <v>378</v>
      </c>
      <c r="G10">
        <v>533</v>
      </c>
      <c r="H10">
        <v>56</v>
      </c>
      <c r="I10">
        <v>41.49</v>
      </c>
    </row>
    <row r="11" spans="1:9" x14ac:dyDescent="0.3">
      <c r="A11" t="s">
        <v>9</v>
      </c>
      <c r="B11" t="s">
        <v>18</v>
      </c>
      <c r="C11" t="s">
        <v>13</v>
      </c>
      <c r="D11">
        <v>1025</v>
      </c>
      <c r="E11">
        <v>1008</v>
      </c>
      <c r="F11">
        <v>458</v>
      </c>
      <c r="G11">
        <v>550</v>
      </c>
      <c r="H11">
        <v>17</v>
      </c>
      <c r="I11">
        <v>45.44</v>
      </c>
    </row>
    <row r="12" spans="1:9" x14ac:dyDescent="0.3">
      <c r="A12" t="s">
        <v>9</v>
      </c>
      <c r="B12" t="s">
        <v>18</v>
      </c>
      <c r="C12" t="s">
        <v>14</v>
      </c>
      <c r="D12">
        <v>1025</v>
      </c>
      <c r="E12">
        <v>996</v>
      </c>
      <c r="F12">
        <v>332</v>
      </c>
      <c r="G12">
        <v>664</v>
      </c>
      <c r="H12">
        <v>29</v>
      </c>
      <c r="I12">
        <v>33.33</v>
      </c>
    </row>
    <row r="13" spans="1:9" x14ac:dyDescent="0.3">
      <c r="A13" t="s">
        <v>9</v>
      </c>
      <c r="B13" t="s">
        <v>18</v>
      </c>
      <c r="C13" t="s">
        <v>15</v>
      </c>
      <c r="D13">
        <v>900</v>
      </c>
      <c r="E13">
        <v>880</v>
      </c>
      <c r="F13">
        <v>357</v>
      </c>
      <c r="G13">
        <v>523</v>
      </c>
      <c r="H13">
        <v>20</v>
      </c>
      <c r="I13">
        <v>40.57</v>
      </c>
    </row>
    <row r="14" spans="1:9" x14ac:dyDescent="0.3">
      <c r="A14" t="s">
        <v>9</v>
      </c>
      <c r="B14" t="s">
        <v>18</v>
      </c>
      <c r="C14" t="s">
        <v>16</v>
      </c>
      <c r="D14">
        <v>1025</v>
      </c>
      <c r="E14">
        <v>968</v>
      </c>
      <c r="F14">
        <v>400</v>
      </c>
      <c r="G14">
        <v>568</v>
      </c>
      <c r="H14">
        <v>57</v>
      </c>
      <c r="I14">
        <v>41.32</v>
      </c>
    </row>
    <row r="15" spans="1:9" x14ac:dyDescent="0.3">
      <c r="A15" t="s">
        <v>9</v>
      </c>
      <c r="B15" t="s">
        <v>18</v>
      </c>
      <c r="C15" t="s">
        <v>17</v>
      </c>
      <c r="D15">
        <v>1010</v>
      </c>
      <c r="E15">
        <v>983</v>
      </c>
      <c r="F15">
        <v>430</v>
      </c>
      <c r="G15">
        <v>553</v>
      </c>
      <c r="H15">
        <v>27</v>
      </c>
      <c r="I15">
        <v>43.74</v>
      </c>
    </row>
    <row r="16" spans="1:9" x14ac:dyDescent="0.3">
      <c r="A16" t="s">
        <v>9</v>
      </c>
      <c r="B16" t="s">
        <v>19</v>
      </c>
      <c r="C16" t="s">
        <v>11</v>
      </c>
      <c r="D16">
        <v>1025</v>
      </c>
      <c r="E16">
        <v>1019</v>
      </c>
      <c r="F16">
        <v>602</v>
      </c>
      <c r="G16">
        <v>417</v>
      </c>
      <c r="H16">
        <v>6</v>
      </c>
      <c r="I16">
        <v>59.08</v>
      </c>
    </row>
    <row r="17" spans="1:9" x14ac:dyDescent="0.3">
      <c r="A17" t="s">
        <v>9</v>
      </c>
      <c r="B17" t="s">
        <v>19</v>
      </c>
      <c r="C17" t="s">
        <v>12</v>
      </c>
      <c r="D17">
        <v>967</v>
      </c>
      <c r="E17">
        <v>945</v>
      </c>
      <c r="F17">
        <v>427</v>
      </c>
      <c r="G17">
        <v>518</v>
      </c>
      <c r="H17">
        <v>22</v>
      </c>
      <c r="I17">
        <v>45.19</v>
      </c>
    </row>
    <row r="18" spans="1:9" x14ac:dyDescent="0.3">
      <c r="A18" t="s">
        <v>9</v>
      </c>
      <c r="B18" t="s">
        <v>19</v>
      </c>
      <c r="C18" t="s">
        <v>13</v>
      </c>
      <c r="D18">
        <v>1025</v>
      </c>
      <c r="E18">
        <v>1016</v>
      </c>
      <c r="F18">
        <v>508</v>
      </c>
      <c r="G18">
        <v>508</v>
      </c>
      <c r="H18">
        <v>9</v>
      </c>
      <c r="I18">
        <v>50</v>
      </c>
    </row>
    <row r="19" spans="1:9" x14ac:dyDescent="0.3">
      <c r="A19" t="s">
        <v>9</v>
      </c>
      <c r="B19" t="s">
        <v>19</v>
      </c>
      <c r="C19" t="s">
        <v>14</v>
      </c>
      <c r="D19">
        <v>1025</v>
      </c>
      <c r="E19">
        <v>1019</v>
      </c>
      <c r="F19">
        <v>334</v>
      </c>
      <c r="G19">
        <v>685</v>
      </c>
      <c r="H19">
        <v>6</v>
      </c>
      <c r="I19">
        <v>32.78</v>
      </c>
    </row>
    <row r="20" spans="1:9" x14ac:dyDescent="0.3">
      <c r="A20" t="s">
        <v>9</v>
      </c>
      <c r="B20" t="s">
        <v>19</v>
      </c>
      <c r="C20" t="s">
        <v>15</v>
      </c>
      <c r="D20">
        <v>900</v>
      </c>
      <c r="E20">
        <v>896</v>
      </c>
      <c r="F20">
        <v>426</v>
      </c>
      <c r="G20">
        <v>470</v>
      </c>
      <c r="H20">
        <v>4</v>
      </c>
      <c r="I20">
        <v>47.54</v>
      </c>
    </row>
    <row r="21" spans="1:9" x14ac:dyDescent="0.3">
      <c r="A21" t="s">
        <v>9</v>
      </c>
      <c r="B21" t="s">
        <v>19</v>
      </c>
      <c r="C21" t="s">
        <v>16</v>
      </c>
      <c r="D21">
        <v>1025</v>
      </c>
      <c r="E21">
        <v>1012</v>
      </c>
      <c r="F21">
        <v>443</v>
      </c>
      <c r="G21">
        <v>569</v>
      </c>
      <c r="H21">
        <v>13</v>
      </c>
      <c r="I21">
        <v>43.77</v>
      </c>
    </row>
    <row r="22" spans="1:9" x14ac:dyDescent="0.3">
      <c r="A22" t="s">
        <v>9</v>
      </c>
      <c r="B22" t="s">
        <v>19</v>
      </c>
      <c r="C22" t="s">
        <v>17</v>
      </c>
      <c r="D22">
        <v>1010</v>
      </c>
      <c r="E22">
        <v>1002</v>
      </c>
      <c r="F22">
        <v>419</v>
      </c>
      <c r="G22">
        <v>583</v>
      </c>
      <c r="H22">
        <v>8</v>
      </c>
      <c r="I22">
        <v>41.82</v>
      </c>
    </row>
    <row r="23" spans="1:9" x14ac:dyDescent="0.3">
      <c r="A23" t="s">
        <v>9</v>
      </c>
      <c r="B23" t="s">
        <v>20</v>
      </c>
      <c r="C23" t="s">
        <v>11</v>
      </c>
      <c r="D23">
        <v>1025</v>
      </c>
      <c r="E23">
        <v>751</v>
      </c>
      <c r="F23">
        <v>339</v>
      </c>
      <c r="G23">
        <v>412</v>
      </c>
      <c r="H23">
        <v>274</v>
      </c>
      <c r="I23">
        <v>45.14</v>
      </c>
    </row>
    <row r="24" spans="1:9" x14ac:dyDescent="0.3">
      <c r="A24" t="s">
        <v>9</v>
      </c>
      <c r="B24" t="s">
        <v>20</v>
      </c>
      <c r="C24" t="s">
        <v>12</v>
      </c>
      <c r="D24">
        <v>967</v>
      </c>
      <c r="E24">
        <v>701</v>
      </c>
      <c r="F24">
        <v>255</v>
      </c>
      <c r="G24">
        <v>446</v>
      </c>
      <c r="H24">
        <v>266</v>
      </c>
      <c r="I24">
        <v>36.380000000000003</v>
      </c>
    </row>
    <row r="25" spans="1:9" x14ac:dyDescent="0.3">
      <c r="A25" t="s">
        <v>9</v>
      </c>
      <c r="B25" t="s">
        <v>20</v>
      </c>
      <c r="C25" t="s">
        <v>13</v>
      </c>
      <c r="D25">
        <v>1025</v>
      </c>
      <c r="E25">
        <v>770</v>
      </c>
      <c r="F25">
        <v>291</v>
      </c>
      <c r="G25">
        <v>479</v>
      </c>
      <c r="H25">
        <v>255</v>
      </c>
      <c r="I25">
        <v>37.79</v>
      </c>
    </row>
    <row r="26" spans="1:9" x14ac:dyDescent="0.3">
      <c r="A26" t="s">
        <v>9</v>
      </c>
      <c r="B26" t="s">
        <v>20</v>
      </c>
      <c r="C26" t="s">
        <v>14</v>
      </c>
      <c r="D26">
        <v>1025</v>
      </c>
      <c r="E26">
        <v>949</v>
      </c>
      <c r="F26">
        <v>285</v>
      </c>
      <c r="G26">
        <v>664</v>
      </c>
      <c r="H26">
        <v>76</v>
      </c>
      <c r="I26">
        <v>30.03</v>
      </c>
    </row>
    <row r="27" spans="1:9" x14ac:dyDescent="0.3">
      <c r="A27" t="s">
        <v>9</v>
      </c>
      <c r="B27" t="s">
        <v>20</v>
      </c>
      <c r="C27" t="s">
        <v>15</v>
      </c>
      <c r="D27">
        <v>900</v>
      </c>
      <c r="E27">
        <v>653</v>
      </c>
      <c r="F27">
        <v>229</v>
      </c>
      <c r="G27">
        <v>424</v>
      </c>
      <c r="H27">
        <v>247</v>
      </c>
      <c r="I27">
        <v>35.07</v>
      </c>
    </row>
    <row r="28" spans="1:9" x14ac:dyDescent="0.3">
      <c r="A28" t="s">
        <v>9</v>
      </c>
      <c r="B28" t="s">
        <v>20</v>
      </c>
      <c r="C28" t="s">
        <v>16</v>
      </c>
      <c r="D28">
        <v>1025</v>
      </c>
      <c r="E28">
        <v>688</v>
      </c>
      <c r="F28">
        <v>228</v>
      </c>
      <c r="G28">
        <v>460</v>
      </c>
      <c r="H28">
        <v>337</v>
      </c>
      <c r="I28">
        <v>33.14</v>
      </c>
    </row>
    <row r="29" spans="1:9" x14ac:dyDescent="0.3">
      <c r="A29" t="s">
        <v>9</v>
      </c>
      <c r="B29" t="s">
        <v>20</v>
      </c>
      <c r="C29" t="s">
        <v>17</v>
      </c>
      <c r="D29">
        <v>1010</v>
      </c>
      <c r="E29">
        <v>833</v>
      </c>
      <c r="F29">
        <v>283</v>
      </c>
      <c r="G29">
        <v>550</v>
      </c>
      <c r="H29">
        <v>177</v>
      </c>
      <c r="I29">
        <v>33.97</v>
      </c>
    </row>
    <row r="30" spans="1:9" x14ac:dyDescent="0.3">
      <c r="A30" t="s">
        <v>9</v>
      </c>
      <c r="B30" t="s">
        <v>21</v>
      </c>
      <c r="C30" t="s">
        <v>11</v>
      </c>
      <c r="D30">
        <v>1025</v>
      </c>
      <c r="E30">
        <v>235</v>
      </c>
      <c r="F30">
        <v>70</v>
      </c>
      <c r="G30">
        <v>165</v>
      </c>
      <c r="H30">
        <v>790</v>
      </c>
      <c r="I30">
        <v>29.79</v>
      </c>
    </row>
    <row r="31" spans="1:9" x14ac:dyDescent="0.3">
      <c r="A31" t="s">
        <v>9</v>
      </c>
      <c r="B31" t="s">
        <v>21</v>
      </c>
      <c r="C31" t="s">
        <v>12</v>
      </c>
      <c r="D31">
        <v>967</v>
      </c>
      <c r="E31">
        <v>295</v>
      </c>
      <c r="F31">
        <v>103</v>
      </c>
      <c r="G31">
        <v>192</v>
      </c>
      <c r="H31">
        <v>672</v>
      </c>
      <c r="I31">
        <v>34.92</v>
      </c>
    </row>
    <row r="32" spans="1:9" x14ac:dyDescent="0.3">
      <c r="A32" t="s">
        <v>9</v>
      </c>
      <c r="B32" t="s">
        <v>21</v>
      </c>
      <c r="C32" t="s">
        <v>13</v>
      </c>
      <c r="D32">
        <v>1025</v>
      </c>
      <c r="E32">
        <v>254</v>
      </c>
      <c r="F32">
        <v>80</v>
      </c>
      <c r="G32">
        <v>174</v>
      </c>
      <c r="H32">
        <v>771</v>
      </c>
      <c r="I32">
        <v>31.5</v>
      </c>
    </row>
    <row r="33" spans="1:9" x14ac:dyDescent="0.3">
      <c r="A33" t="s">
        <v>9</v>
      </c>
      <c r="B33" t="s">
        <v>21</v>
      </c>
      <c r="C33" t="s">
        <v>14</v>
      </c>
      <c r="D33">
        <v>1025</v>
      </c>
      <c r="E33">
        <v>268</v>
      </c>
      <c r="F33">
        <v>70</v>
      </c>
      <c r="G33">
        <v>198</v>
      </c>
      <c r="H33">
        <v>757</v>
      </c>
      <c r="I33">
        <v>26.12</v>
      </c>
    </row>
    <row r="34" spans="1:9" x14ac:dyDescent="0.3">
      <c r="A34" t="s">
        <v>9</v>
      </c>
      <c r="B34" t="s">
        <v>21</v>
      </c>
      <c r="C34" t="s">
        <v>15</v>
      </c>
      <c r="D34">
        <v>900</v>
      </c>
      <c r="E34">
        <v>185</v>
      </c>
      <c r="F34">
        <v>58</v>
      </c>
      <c r="G34">
        <v>127</v>
      </c>
      <c r="H34">
        <v>715</v>
      </c>
      <c r="I34">
        <v>31.35</v>
      </c>
    </row>
    <row r="35" spans="1:9" x14ac:dyDescent="0.3">
      <c r="A35" t="s">
        <v>9</v>
      </c>
      <c r="B35" t="s">
        <v>21</v>
      </c>
      <c r="C35" t="s">
        <v>16</v>
      </c>
      <c r="D35">
        <v>1025</v>
      </c>
      <c r="E35">
        <v>219</v>
      </c>
      <c r="F35">
        <v>55</v>
      </c>
      <c r="G35">
        <v>164</v>
      </c>
      <c r="H35">
        <v>806</v>
      </c>
      <c r="I35">
        <v>25.11</v>
      </c>
    </row>
    <row r="36" spans="1:9" x14ac:dyDescent="0.3">
      <c r="A36" t="s">
        <v>9</v>
      </c>
      <c r="B36" t="s">
        <v>21</v>
      </c>
      <c r="C36" t="s">
        <v>17</v>
      </c>
      <c r="D36">
        <v>1010</v>
      </c>
      <c r="E36">
        <v>235</v>
      </c>
      <c r="F36">
        <v>52</v>
      </c>
      <c r="G36">
        <v>183</v>
      </c>
      <c r="H36">
        <v>775</v>
      </c>
      <c r="I36">
        <v>22.13</v>
      </c>
    </row>
    <row r="37" spans="1:9" hidden="1" x14ac:dyDescent="0.3">
      <c r="A37" t="s">
        <v>22</v>
      </c>
      <c r="B37" t="s">
        <v>23</v>
      </c>
      <c r="C37" t="s">
        <v>11</v>
      </c>
      <c r="D37">
        <v>1025</v>
      </c>
      <c r="E37">
        <v>968</v>
      </c>
      <c r="F37">
        <v>370</v>
      </c>
      <c r="G37">
        <v>598</v>
      </c>
      <c r="H37">
        <v>57</v>
      </c>
      <c r="I37">
        <v>38.22</v>
      </c>
    </row>
    <row r="38" spans="1:9" hidden="1" x14ac:dyDescent="0.3">
      <c r="A38" t="s">
        <v>22</v>
      </c>
      <c r="B38" t="s">
        <v>23</v>
      </c>
      <c r="C38" t="s">
        <v>12</v>
      </c>
      <c r="D38">
        <v>967</v>
      </c>
      <c r="E38">
        <v>879</v>
      </c>
      <c r="F38">
        <v>281</v>
      </c>
      <c r="G38">
        <v>598</v>
      </c>
      <c r="H38">
        <v>88</v>
      </c>
      <c r="I38">
        <v>31.97</v>
      </c>
    </row>
    <row r="39" spans="1:9" hidden="1" x14ac:dyDescent="0.3">
      <c r="A39" t="s">
        <v>22</v>
      </c>
      <c r="B39" t="s">
        <v>23</v>
      </c>
      <c r="C39" t="s">
        <v>13</v>
      </c>
      <c r="D39">
        <v>1025</v>
      </c>
      <c r="E39">
        <v>948</v>
      </c>
      <c r="F39">
        <v>310</v>
      </c>
      <c r="G39">
        <v>638</v>
      </c>
      <c r="H39">
        <v>77</v>
      </c>
      <c r="I39">
        <v>32.700000000000003</v>
      </c>
    </row>
    <row r="40" spans="1:9" hidden="1" x14ac:dyDescent="0.3">
      <c r="A40" t="s">
        <v>22</v>
      </c>
      <c r="B40" t="s">
        <v>23</v>
      </c>
      <c r="C40" t="s">
        <v>14</v>
      </c>
      <c r="D40">
        <v>1025</v>
      </c>
      <c r="E40">
        <v>851</v>
      </c>
      <c r="F40">
        <v>227</v>
      </c>
      <c r="G40">
        <v>624</v>
      </c>
      <c r="H40">
        <v>174</v>
      </c>
      <c r="I40">
        <v>26.67</v>
      </c>
    </row>
    <row r="41" spans="1:9" hidden="1" x14ac:dyDescent="0.3">
      <c r="A41" t="s">
        <v>22</v>
      </c>
      <c r="B41" t="s">
        <v>23</v>
      </c>
      <c r="C41" t="s">
        <v>15</v>
      </c>
      <c r="D41">
        <v>900</v>
      </c>
      <c r="E41">
        <v>797</v>
      </c>
      <c r="F41">
        <v>234</v>
      </c>
      <c r="G41">
        <v>563</v>
      </c>
      <c r="H41">
        <v>103</v>
      </c>
      <c r="I41">
        <v>29.36</v>
      </c>
    </row>
    <row r="42" spans="1:9" hidden="1" x14ac:dyDescent="0.3">
      <c r="A42" t="s">
        <v>22</v>
      </c>
      <c r="B42" t="s">
        <v>23</v>
      </c>
      <c r="C42" t="s">
        <v>16</v>
      </c>
      <c r="D42">
        <v>1025</v>
      </c>
      <c r="E42">
        <v>985</v>
      </c>
      <c r="F42">
        <v>310</v>
      </c>
      <c r="G42">
        <v>675</v>
      </c>
      <c r="H42">
        <v>40</v>
      </c>
      <c r="I42">
        <v>31.47</v>
      </c>
    </row>
    <row r="43" spans="1:9" hidden="1" x14ac:dyDescent="0.3">
      <c r="A43" t="s">
        <v>22</v>
      </c>
      <c r="B43" t="s">
        <v>23</v>
      </c>
      <c r="C43" t="s">
        <v>17</v>
      </c>
      <c r="D43">
        <v>1010</v>
      </c>
      <c r="E43">
        <v>948</v>
      </c>
      <c r="F43">
        <v>272</v>
      </c>
      <c r="G43">
        <v>676</v>
      </c>
      <c r="H43">
        <v>62</v>
      </c>
      <c r="I43">
        <v>28.69</v>
      </c>
    </row>
    <row r="44" spans="1:9" hidden="1" x14ac:dyDescent="0.3">
      <c r="A44" t="s">
        <v>22</v>
      </c>
      <c r="B44" t="s">
        <v>10</v>
      </c>
      <c r="C44" t="s">
        <v>11</v>
      </c>
      <c r="D44">
        <v>1025</v>
      </c>
      <c r="E44">
        <v>465</v>
      </c>
      <c r="F44">
        <v>113</v>
      </c>
      <c r="G44">
        <v>352</v>
      </c>
      <c r="H44">
        <v>560</v>
      </c>
      <c r="I44">
        <v>24.3</v>
      </c>
    </row>
    <row r="45" spans="1:9" hidden="1" x14ac:dyDescent="0.3">
      <c r="A45" t="s">
        <v>22</v>
      </c>
      <c r="B45" t="s">
        <v>10</v>
      </c>
      <c r="C45" t="s">
        <v>12</v>
      </c>
      <c r="D45">
        <v>967</v>
      </c>
      <c r="E45">
        <v>413</v>
      </c>
      <c r="F45">
        <v>112</v>
      </c>
      <c r="G45">
        <v>301</v>
      </c>
      <c r="H45">
        <v>554</v>
      </c>
      <c r="I45">
        <v>27.12</v>
      </c>
    </row>
    <row r="46" spans="1:9" hidden="1" x14ac:dyDescent="0.3">
      <c r="A46" t="s">
        <v>22</v>
      </c>
      <c r="B46" t="s">
        <v>10</v>
      </c>
      <c r="C46" t="s">
        <v>13</v>
      </c>
      <c r="D46">
        <v>1025</v>
      </c>
      <c r="E46">
        <v>495</v>
      </c>
      <c r="F46">
        <v>119</v>
      </c>
      <c r="G46">
        <v>376</v>
      </c>
      <c r="H46">
        <v>530</v>
      </c>
      <c r="I46">
        <v>24.04</v>
      </c>
    </row>
    <row r="47" spans="1:9" hidden="1" x14ac:dyDescent="0.3">
      <c r="A47" t="s">
        <v>22</v>
      </c>
      <c r="B47" t="s">
        <v>10</v>
      </c>
      <c r="C47" t="s">
        <v>14</v>
      </c>
      <c r="D47">
        <v>1025</v>
      </c>
      <c r="E47">
        <v>683</v>
      </c>
      <c r="F47">
        <v>154</v>
      </c>
      <c r="G47">
        <v>529</v>
      </c>
      <c r="H47">
        <v>342</v>
      </c>
      <c r="I47">
        <v>22.55</v>
      </c>
    </row>
    <row r="48" spans="1:9" hidden="1" x14ac:dyDescent="0.3">
      <c r="A48" t="s">
        <v>22</v>
      </c>
      <c r="B48" t="s">
        <v>10</v>
      </c>
      <c r="C48" t="s">
        <v>15</v>
      </c>
      <c r="D48">
        <v>900</v>
      </c>
      <c r="E48">
        <v>298</v>
      </c>
      <c r="F48">
        <v>79</v>
      </c>
      <c r="G48">
        <v>219</v>
      </c>
      <c r="H48">
        <v>602</v>
      </c>
      <c r="I48">
        <v>26.51</v>
      </c>
    </row>
    <row r="49" spans="1:9" hidden="1" x14ac:dyDescent="0.3">
      <c r="A49" t="s">
        <v>22</v>
      </c>
      <c r="B49" t="s">
        <v>10</v>
      </c>
      <c r="C49" t="s">
        <v>16</v>
      </c>
      <c r="D49">
        <v>1025</v>
      </c>
      <c r="E49">
        <v>509</v>
      </c>
      <c r="F49">
        <v>148</v>
      </c>
      <c r="G49">
        <v>361</v>
      </c>
      <c r="H49">
        <v>516</v>
      </c>
      <c r="I49">
        <v>29.08</v>
      </c>
    </row>
    <row r="50" spans="1:9" hidden="1" x14ac:dyDescent="0.3">
      <c r="A50" t="s">
        <v>22</v>
      </c>
      <c r="B50" t="s">
        <v>10</v>
      </c>
      <c r="C50" t="s">
        <v>17</v>
      </c>
      <c r="D50">
        <v>1010</v>
      </c>
      <c r="E50">
        <v>562</v>
      </c>
      <c r="F50">
        <v>134</v>
      </c>
      <c r="G50">
        <v>428</v>
      </c>
      <c r="H50">
        <v>448</v>
      </c>
      <c r="I50">
        <v>23.84</v>
      </c>
    </row>
    <row r="51" spans="1:9" hidden="1" x14ac:dyDescent="0.3">
      <c r="A51" t="s">
        <v>22</v>
      </c>
      <c r="B51" t="s">
        <v>18</v>
      </c>
      <c r="C51" t="s">
        <v>11</v>
      </c>
      <c r="D51">
        <v>1025</v>
      </c>
      <c r="E51">
        <v>1024</v>
      </c>
      <c r="F51">
        <v>572</v>
      </c>
      <c r="G51">
        <v>452</v>
      </c>
      <c r="H51">
        <v>1</v>
      </c>
      <c r="I51">
        <v>55.86</v>
      </c>
    </row>
    <row r="52" spans="1:9" hidden="1" x14ac:dyDescent="0.3">
      <c r="A52" t="s">
        <v>22</v>
      </c>
      <c r="B52" t="s">
        <v>18</v>
      </c>
      <c r="C52" t="s">
        <v>12</v>
      </c>
      <c r="D52">
        <v>967</v>
      </c>
      <c r="E52">
        <v>964</v>
      </c>
      <c r="F52">
        <v>399</v>
      </c>
      <c r="G52">
        <v>565</v>
      </c>
      <c r="H52">
        <v>3</v>
      </c>
      <c r="I52">
        <v>41.39</v>
      </c>
    </row>
    <row r="53" spans="1:9" hidden="1" x14ac:dyDescent="0.3">
      <c r="A53" t="s">
        <v>22</v>
      </c>
      <c r="B53" t="s">
        <v>18</v>
      </c>
      <c r="C53" t="s">
        <v>13</v>
      </c>
      <c r="D53">
        <v>1025</v>
      </c>
      <c r="E53">
        <v>1025</v>
      </c>
      <c r="F53">
        <v>472</v>
      </c>
      <c r="G53">
        <v>553</v>
      </c>
      <c r="H53">
        <v>0</v>
      </c>
      <c r="I53">
        <v>46.05</v>
      </c>
    </row>
    <row r="54" spans="1:9" hidden="1" x14ac:dyDescent="0.3">
      <c r="A54" t="s">
        <v>22</v>
      </c>
      <c r="B54" t="s">
        <v>18</v>
      </c>
      <c r="C54" t="s">
        <v>14</v>
      </c>
      <c r="D54">
        <v>1025</v>
      </c>
      <c r="E54">
        <v>1023</v>
      </c>
      <c r="F54">
        <v>366</v>
      </c>
      <c r="G54">
        <v>657</v>
      </c>
      <c r="H54">
        <v>2</v>
      </c>
      <c r="I54">
        <v>35.78</v>
      </c>
    </row>
    <row r="55" spans="1:9" hidden="1" x14ac:dyDescent="0.3">
      <c r="A55" t="s">
        <v>22</v>
      </c>
      <c r="B55" t="s">
        <v>18</v>
      </c>
      <c r="C55" t="s">
        <v>15</v>
      </c>
      <c r="D55">
        <v>900</v>
      </c>
      <c r="E55">
        <v>900</v>
      </c>
      <c r="F55">
        <v>358</v>
      </c>
      <c r="G55">
        <v>542</v>
      </c>
      <c r="H55">
        <v>0</v>
      </c>
      <c r="I55">
        <v>39.78</v>
      </c>
    </row>
    <row r="56" spans="1:9" hidden="1" x14ac:dyDescent="0.3">
      <c r="A56" t="s">
        <v>22</v>
      </c>
      <c r="B56" t="s">
        <v>18</v>
      </c>
      <c r="C56" t="s">
        <v>16</v>
      </c>
      <c r="D56">
        <v>1025</v>
      </c>
      <c r="E56">
        <v>1025</v>
      </c>
      <c r="F56">
        <v>424</v>
      </c>
      <c r="G56">
        <v>601</v>
      </c>
      <c r="H56">
        <v>0</v>
      </c>
      <c r="I56">
        <v>41.37</v>
      </c>
    </row>
    <row r="57" spans="1:9" hidden="1" x14ac:dyDescent="0.3">
      <c r="A57" t="s">
        <v>22</v>
      </c>
      <c r="B57" t="s">
        <v>18</v>
      </c>
      <c r="C57" t="s">
        <v>17</v>
      </c>
      <c r="D57">
        <v>1010</v>
      </c>
      <c r="E57">
        <v>1010</v>
      </c>
      <c r="F57">
        <v>443</v>
      </c>
      <c r="G57">
        <v>567</v>
      </c>
      <c r="H57">
        <v>0</v>
      </c>
      <c r="I57">
        <v>43.86</v>
      </c>
    </row>
    <row r="58" spans="1:9" hidden="1" x14ac:dyDescent="0.3">
      <c r="A58" t="s">
        <v>22</v>
      </c>
      <c r="B58" t="s">
        <v>19</v>
      </c>
      <c r="C58" t="s">
        <v>11</v>
      </c>
      <c r="D58">
        <v>1025</v>
      </c>
      <c r="E58">
        <v>1021</v>
      </c>
      <c r="F58">
        <v>611</v>
      </c>
      <c r="G58">
        <v>410</v>
      </c>
      <c r="H58">
        <v>4</v>
      </c>
      <c r="I58">
        <v>59.84</v>
      </c>
    </row>
    <row r="59" spans="1:9" hidden="1" x14ac:dyDescent="0.3">
      <c r="A59" t="s">
        <v>22</v>
      </c>
      <c r="B59" t="s">
        <v>19</v>
      </c>
      <c r="C59" t="s">
        <v>12</v>
      </c>
      <c r="D59">
        <v>967</v>
      </c>
      <c r="E59">
        <v>965</v>
      </c>
      <c r="F59">
        <v>454</v>
      </c>
      <c r="G59">
        <v>511</v>
      </c>
      <c r="H59">
        <v>2</v>
      </c>
      <c r="I59">
        <v>47.05</v>
      </c>
    </row>
    <row r="60" spans="1:9" hidden="1" x14ac:dyDescent="0.3">
      <c r="A60" t="s">
        <v>22</v>
      </c>
      <c r="B60" t="s">
        <v>19</v>
      </c>
      <c r="C60" t="s">
        <v>13</v>
      </c>
      <c r="D60">
        <v>1025</v>
      </c>
      <c r="E60">
        <v>1025</v>
      </c>
      <c r="F60">
        <v>531</v>
      </c>
      <c r="G60">
        <v>494</v>
      </c>
      <c r="H60">
        <v>0</v>
      </c>
      <c r="I60">
        <v>51.8</v>
      </c>
    </row>
    <row r="61" spans="1:9" hidden="1" x14ac:dyDescent="0.3">
      <c r="A61" t="s">
        <v>22</v>
      </c>
      <c r="B61" t="s">
        <v>19</v>
      </c>
      <c r="C61" t="s">
        <v>14</v>
      </c>
      <c r="D61">
        <v>1025</v>
      </c>
      <c r="E61">
        <v>1021</v>
      </c>
      <c r="F61">
        <v>356</v>
      </c>
      <c r="G61">
        <v>665</v>
      </c>
      <c r="H61">
        <v>4</v>
      </c>
      <c r="I61">
        <v>34.869999999999997</v>
      </c>
    </row>
    <row r="62" spans="1:9" hidden="1" x14ac:dyDescent="0.3">
      <c r="A62" t="s">
        <v>22</v>
      </c>
      <c r="B62" t="s">
        <v>19</v>
      </c>
      <c r="C62" t="s">
        <v>15</v>
      </c>
      <c r="D62">
        <v>900</v>
      </c>
      <c r="E62">
        <v>900</v>
      </c>
      <c r="F62">
        <v>434</v>
      </c>
      <c r="G62">
        <v>466</v>
      </c>
      <c r="H62">
        <v>0</v>
      </c>
      <c r="I62">
        <v>48.22</v>
      </c>
    </row>
    <row r="63" spans="1:9" hidden="1" x14ac:dyDescent="0.3">
      <c r="A63" t="s">
        <v>22</v>
      </c>
      <c r="B63" t="s">
        <v>19</v>
      </c>
      <c r="C63" t="s">
        <v>16</v>
      </c>
      <c r="D63">
        <v>1025</v>
      </c>
      <c r="E63">
        <v>1025</v>
      </c>
      <c r="F63">
        <v>493</v>
      </c>
      <c r="G63">
        <v>532</v>
      </c>
      <c r="H63">
        <v>0</v>
      </c>
      <c r="I63">
        <v>48.1</v>
      </c>
    </row>
    <row r="64" spans="1:9" hidden="1" x14ac:dyDescent="0.3">
      <c r="A64" t="s">
        <v>22</v>
      </c>
      <c r="B64" t="s">
        <v>19</v>
      </c>
      <c r="C64" t="s">
        <v>17</v>
      </c>
      <c r="D64">
        <v>1010</v>
      </c>
      <c r="E64">
        <v>1008</v>
      </c>
      <c r="F64">
        <v>450</v>
      </c>
      <c r="G64">
        <v>558</v>
      </c>
      <c r="H64">
        <v>2</v>
      </c>
      <c r="I64">
        <v>44.64</v>
      </c>
    </row>
    <row r="65" spans="1:9" hidden="1" x14ac:dyDescent="0.3">
      <c r="A65" t="s">
        <v>22</v>
      </c>
      <c r="B65" t="s">
        <v>20</v>
      </c>
      <c r="C65" t="s">
        <v>11</v>
      </c>
      <c r="D65">
        <v>1025</v>
      </c>
      <c r="E65">
        <v>1017</v>
      </c>
      <c r="F65">
        <v>598</v>
      </c>
      <c r="G65">
        <v>419</v>
      </c>
      <c r="H65">
        <v>8</v>
      </c>
      <c r="I65">
        <v>58.8</v>
      </c>
    </row>
    <row r="66" spans="1:9" hidden="1" x14ac:dyDescent="0.3">
      <c r="A66" t="s">
        <v>22</v>
      </c>
      <c r="B66" t="s">
        <v>20</v>
      </c>
      <c r="C66" t="s">
        <v>12</v>
      </c>
      <c r="D66">
        <v>967</v>
      </c>
      <c r="E66">
        <v>948</v>
      </c>
      <c r="F66">
        <v>392</v>
      </c>
      <c r="G66">
        <v>556</v>
      </c>
      <c r="H66">
        <v>19</v>
      </c>
      <c r="I66">
        <v>41.35</v>
      </c>
    </row>
    <row r="67" spans="1:9" hidden="1" x14ac:dyDescent="0.3">
      <c r="A67" t="s">
        <v>22</v>
      </c>
      <c r="B67" t="s">
        <v>20</v>
      </c>
      <c r="C67" t="s">
        <v>13</v>
      </c>
      <c r="D67">
        <v>1025</v>
      </c>
      <c r="E67">
        <v>1014</v>
      </c>
      <c r="F67">
        <v>454</v>
      </c>
      <c r="G67">
        <v>560</v>
      </c>
      <c r="H67">
        <v>11</v>
      </c>
      <c r="I67">
        <v>44.77</v>
      </c>
    </row>
    <row r="68" spans="1:9" hidden="1" x14ac:dyDescent="0.3">
      <c r="A68" t="s">
        <v>22</v>
      </c>
      <c r="B68" t="s">
        <v>20</v>
      </c>
      <c r="C68" t="s">
        <v>14</v>
      </c>
      <c r="D68">
        <v>1025</v>
      </c>
      <c r="E68">
        <v>1010</v>
      </c>
      <c r="F68">
        <v>327</v>
      </c>
      <c r="G68">
        <v>683</v>
      </c>
      <c r="H68">
        <v>15</v>
      </c>
      <c r="I68">
        <v>32.380000000000003</v>
      </c>
    </row>
    <row r="69" spans="1:9" hidden="1" x14ac:dyDescent="0.3">
      <c r="A69" t="s">
        <v>22</v>
      </c>
      <c r="B69" t="s">
        <v>20</v>
      </c>
      <c r="C69" t="s">
        <v>15</v>
      </c>
      <c r="D69">
        <v>900</v>
      </c>
      <c r="E69">
        <v>893</v>
      </c>
      <c r="F69">
        <v>389</v>
      </c>
      <c r="G69">
        <v>504</v>
      </c>
      <c r="H69">
        <v>7</v>
      </c>
      <c r="I69">
        <v>43.56</v>
      </c>
    </row>
    <row r="70" spans="1:9" hidden="1" x14ac:dyDescent="0.3">
      <c r="A70" t="s">
        <v>22</v>
      </c>
      <c r="B70" t="s">
        <v>20</v>
      </c>
      <c r="C70" t="s">
        <v>16</v>
      </c>
      <c r="D70">
        <v>1025</v>
      </c>
      <c r="E70">
        <v>1014</v>
      </c>
      <c r="F70">
        <v>464</v>
      </c>
      <c r="G70">
        <v>550</v>
      </c>
      <c r="H70">
        <v>11</v>
      </c>
      <c r="I70">
        <v>45.76</v>
      </c>
    </row>
    <row r="71" spans="1:9" hidden="1" x14ac:dyDescent="0.3">
      <c r="A71" t="s">
        <v>22</v>
      </c>
      <c r="B71" t="s">
        <v>20</v>
      </c>
      <c r="C71" t="s">
        <v>17</v>
      </c>
      <c r="D71">
        <v>1010</v>
      </c>
      <c r="E71">
        <v>1001</v>
      </c>
      <c r="F71">
        <v>416</v>
      </c>
      <c r="G71">
        <v>585</v>
      </c>
      <c r="H71">
        <v>9</v>
      </c>
      <c r="I71">
        <v>41.56</v>
      </c>
    </row>
    <row r="72" spans="1:9" hidden="1" x14ac:dyDescent="0.3">
      <c r="A72" t="s">
        <v>22</v>
      </c>
      <c r="B72" t="s">
        <v>21</v>
      </c>
      <c r="C72" t="s">
        <v>11</v>
      </c>
      <c r="D72">
        <v>1025</v>
      </c>
      <c r="E72">
        <v>812</v>
      </c>
      <c r="F72">
        <v>456</v>
      </c>
      <c r="G72">
        <v>356</v>
      </c>
      <c r="H72">
        <v>213</v>
      </c>
      <c r="I72">
        <v>56.16</v>
      </c>
    </row>
    <row r="73" spans="1:9" hidden="1" x14ac:dyDescent="0.3">
      <c r="A73" t="s">
        <v>22</v>
      </c>
      <c r="B73" t="s">
        <v>21</v>
      </c>
      <c r="C73" t="s">
        <v>12</v>
      </c>
      <c r="D73">
        <v>967</v>
      </c>
      <c r="E73">
        <v>326</v>
      </c>
      <c r="F73">
        <v>119</v>
      </c>
      <c r="G73">
        <v>207</v>
      </c>
      <c r="H73">
        <v>641</v>
      </c>
      <c r="I73">
        <v>36.5</v>
      </c>
    </row>
    <row r="74" spans="1:9" hidden="1" x14ac:dyDescent="0.3">
      <c r="A74" t="s">
        <v>22</v>
      </c>
      <c r="B74" t="s">
        <v>21</v>
      </c>
      <c r="C74" t="s">
        <v>13</v>
      </c>
      <c r="D74">
        <v>1025</v>
      </c>
      <c r="E74">
        <v>1022</v>
      </c>
      <c r="F74">
        <v>467</v>
      </c>
      <c r="G74">
        <v>555</v>
      </c>
      <c r="H74">
        <v>3</v>
      </c>
      <c r="I74">
        <v>45.69</v>
      </c>
    </row>
    <row r="75" spans="1:9" hidden="1" x14ac:dyDescent="0.3">
      <c r="A75" t="s">
        <v>22</v>
      </c>
      <c r="B75" t="s">
        <v>21</v>
      </c>
      <c r="C75" t="s">
        <v>14</v>
      </c>
      <c r="D75">
        <v>1025</v>
      </c>
      <c r="E75">
        <v>675</v>
      </c>
      <c r="F75">
        <v>211</v>
      </c>
      <c r="G75">
        <v>464</v>
      </c>
      <c r="H75">
        <v>350</v>
      </c>
      <c r="I75">
        <v>31.26</v>
      </c>
    </row>
    <row r="76" spans="1:9" hidden="1" x14ac:dyDescent="0.3">
      <c r="A76" t="s">
        <v>22</v>
      </c>
      <c r="B76" t="s">
        <v>21</v>
      </c>
      <c r="C76" t="s">
        <v>15</v>
      </c>
      <c r="D76">
        <v>900</v>
      </c>
      <c r="E76">
        <v>745</v>
      </c>
      <c r="F76">
        <v>311</v>
      </c>
      <c r="G76">
        <v>434</v>
      </c>
      <c r="H76">
        <v>155</v>
      </c>
      <c r="I76">
        <v>41.74</v>
      </c>
    </row>
    <row r="77" spans="1:9" hidden="1" x14ac:dyDescent="0.3">
      <c r="A77" t="s">
        <v>22</v>
      </c>
      <c r="B77" t="s">
        <v>21</v>
      </c>
      <c r="C77" t="s">
        <v>16</v>
      </c>
      <c r="D77">
        <v>1025</v>
      </c>
      <c r="E77">
        <v>1025</v>
      </c>
      <c r="F77">
        <v>427</v>
      </c>
      <c r="G77">
        <v>598</v>
      </c>
      <c r="H77">
        <v>0</v>
      </c>
      <c r="I77">
        <v>41.66</v>
      </c>
    </row>
    <row r="78" spans="1:9" hidden="1" x14ac:dyDescent="0.3">
      <c r="A78" t="s">
        <v>22</v>
      </c>
      <c r="B78" t="s">
        <v>21</v>
      </c>
      <c r="C78" t="s">
        <v>17</v>
      </c>
      <c r="D78">
        <v>1010</v>
      </c>
      <c r="E78">
        <v>337</v>
      </c>
      <c r="F78">
        <v>140</v>
      </c>
      <c r="G78">
        <v>197</v>
      </c>
      <c r="H78">
        <v>673</v>
      </c>
      <c r="I78">
        <v>41.54</v>
      </c>
    </row>
    <row r="79" spans="1:9" hidden="1" x14ac:dyDescent="0.3">
      <c r="A79" t="s">
        <v>24</v>
      </c>
      <c r="B79" t="s">
        <v>10</v>
      </c>
      <c r="C79" t="s">
        <v>11</v>
      </c>
      <c r="D79">
        <v>1025</v>
      </c>
      <c r="E79">
        <v>309</v>
      </c>
      <c r="F79">
        <v>91</v>
      </c>
      <c r="G79">
        <v>218</v>
      </c>
      <c r="H79">
        <v>716</v>
      </c>
      <c r="I79">
        <v>29.45</v>
      </c>
    </row>
    <row r="80" spans="1:9" hidden="1" x14ac:dyDescent="0.3">
      <c r="A80" t="s">
        <v>24</v>
      </c>
      <c r="B80" t="s">
        <v>10</v>
      </c>
      <c r="C80" t="s">
        <v>12</v>
      </c>
      <c r="D80">
        <v>967</v>
      </c>
      <c r="E80">
        <v>314</v>
      </c>
      <c r="F80">
        <v>78</v>
      </c>
      <c r="G80">
        <v>236</v>
      </c>
      <c r="H80">
        <v>653</v>
      </c>
      <c r="I80">
        <v>24.84</v>
      </c>
    </row>
    <row r="81" spans="1:9" hidden="1" x14ac:dyDescent="0.3">
      <c r="A81" t="s">
        <v>24</v>
      </c>
      <c r="B81" t="s">
        <v>10</v>
      </c>
      <c r="C81" t="s">
        <v>13</v>
      </c>
      <c r="D81">
        <v>1025</v>
      </c>
      <c r="E81">
        <v>313</v>
      </c>
      <c r="F81">
        <v>76</v>
      </c>
      <c r="G81">
        <v>237</v>
      </c>
      <c r="H81">
        <v>712</v>
      </c>
      <c r="I81">
        <v>24.28</v>
      </c>
    </row>
    <row r="82" spans="1:9" hidden="1" x14ac:dyDescent="0.3">
      <c r="A82" t="s">
        <v>24</v>
      </c>
      <c r="B82" t="s">
        <v>10</v>
      </c>
      <c r="C82" t="s">
        <v>14</v>
      </c>
      <c r="D82">
        <v>1025</v>
      </c>
      <c r="E82">
        <v>562</v>
      </c>
      <c r="F82">
        <v>144</v>
      </c>
      <c r="G82">
        <v>418</v>
      </c>
      <c r="H82">
        <v>463</v>
      </c>
      <c r="I82">
        <v>25.62</v>
      </c>
    </row>
    <row r="83" spans="1:9" hidden="1" x14ac:dyDescent="0.3">
      <c r="A83" t="s">
        <v>24</v>
      </c>
      <c r="B83" t="s">
        <v>10</v>
      </c>
      <c r="C83" t="s">
        <v>15</v>
      </c>
      <c r="D83">
        <v>900</v>
      </c>
      <c r="E83">
        <v>213</v>
      </c>
      <c r="F83">
        <v>46</v>
      </c>
      <c r="G83">
        <v>167</v>
      </c>
      <c r="H83">
        <v>687</v>
      </c>
      <c r="I83">
        <v>21.6</v>
      </c>
    </row>
    <row r="84" spans="1:9" hidden="1" x14ac:dyDescent="0.3">
      <c r="A84" t="s">
        <v>24</v>
      </c>
      <c r="B84" t="s">
        <v>10</v>
      </c>
      <c r="C84" t="s">
        <v>16</v>
      </c>
      <c r="D84">
        <v>1025</v>
      </c>
      <c r="E84">
        <v>358</v>
      </c>
      <c r="F84">
        <v>98</v>
      </c>
      <c r="G84">
        <v>260</v>
      </c>
      <c r="H84">
        <v>667</v>
      </c>
      <c r="I84">
        <v>27.37</v>
      </c>
    </row>
    <row r="85" spans="1:9" hidden="1" x14ac:dyDescent="0.3">
      <c r="A85" t="s">
        <v>24</v>
      </c>
      <c r="B85" t="s">
        <v>10</v>
      </c>
      <c r="C85" t="s">
        <v>17</v>
      </c>
      <c r="D85">
        <v>1010</v>
      </c>
      <c r="E85">
        <v>442</v>
      </c>
      <c r="F85">
        <v>108</v>
      </c>
      <c r="G85">
        <v>334</v>
      </c>
      <c r="H85">
        <v>568</v>
      </c>
      <c r="I85">
        <v>24.43</v>
      </c>
    </row>
    <row r="86" spans="1:9" hidden="1" x14ac:dyDescent="0.3">
      <c r="A86" t="s">
        <v>24</v>
      </c>
      <c r="B86" t="s">
        <v>25</v>
      </c>
      <c r="C86" t="s">
        <v>11</v>
      </c>
      <c r="D86">
        <v>1025</v>
      </c>
      <c r="E86">
        <v>1022</v>
      </c>
      <c r="F86">
        <v>386</v>
      </c>
      <c r="G86">
        <v>636</v>
      </c>
      <c r="H86">
        <v>3</v>
      </c>
      <c r="I86">
        <v>37.770000000000003</v>
      </c>
    </row>
    <row r="87" spans="1:9" hidden="1" x14ac:dyDescent="0.3">
      <c r="A87" t="s">
        <v>24</v>
      </c>
      <c r="B87" t="s">
        <v>25</v>
      </c>
      <c r="C87" t="s">
        <v>12</v>
      </c>
      <c r="D87">
        <v>967</v>
      </c>
      <c r="E87">
        <v>950</v>
      </c>
      <c r="F87">
        <v>317</v>
      </c>
      <c r="G87">
        <v>633</v>
      </c>
      <c r="H87">
        <v>17</v>
      </c>
      <c r="I87">
        <v>33.369999999999997</v>
      </c>
    </row>
    <row r="88" spans="1:9" hidden="1" x14ac:dyDescent="0.3">
      <c r="A88" t="s">
        <v>24</v>
      </c>
      <c r="B88" t="s">
        <v>25</v>
      </c>
      <c r="C88" t="s">
        <v>13</v>
      </c>
      <c r="D88">
        <v>1025</v>
      </c>
      <c r="E88">
        <v>1017</v>
      </c>
      <c r="F88">
        <v>310</v>
      </c>
      <c r="G88">
        <v>707</v>
      </c>
      <c r="H88">
        <v>8</v>
      </c>
      <c r="I88">
        <v>30.48</v>
      </c>
    </row>
    <row r="89" spans="1:9" hidden="1" x14ac:dyDescent="0.3">
      <c r="A89" t="s">
        <v>24</v>
      </c>
      <c r="B89" t="s">
        <v>25</v>
      </c>
      <c r="C89" t="s">
        <v>14</v>
      </c>
      <c r="D89">
        <v>1025</v>
      </c>
      <c r="E89">
        <v>965</v>
      </c>
      <c r="F89">
        <v>252</v>
      </c>
      <c r="G89">
        <v>713</v>
      </c>
      <c r="H89">
        <v>60</v>
      </c>
      <c r="I89">
        <v>26.11</v>
      </c>
    </row>
    <row r="90" spans="1:9" hidden="1" x14ac:dyDescent="0.3">
      <c r="A90" t="s">
        <v>24</v>
      </c>
      <c r="B90" t="s">
        <v>25</v>
      </c>
      <c r="C90" t="s">
        <v>15</v>
      </c>
      <c r="D90">
        <v>900</v>
      </c>
      <c r="E90">
        <v>894</v>
      </c>
      <c r="F90">
        <v>270</v>
      </c>
      <c r="G90">
        <v>624</v>
      </c>
      <c r="H90">
        <v>6</v>
      </c>
      <c r="I90">
        <v>30.2</v>
      </c>
    </row>
    <row r="91" spans="1:9" hidden="1" x14ac:dyDescent="0.3">
      <c r="A91" t="s">
        <v>24</v>
      </c>
      <c r="B91" t="s">
        <v>25</v>
      </c>
      <c r="C91" t="s">
        <v>16</v>
      </c>
      <c r="D91">
        <v>1025</v>
      </c>
      <c r="E91">
        <v>1017</v>
      </c>
      <c r="F91">
        <v>307</v>
      </c>
      <c r="G91">
        <v>710</v>
      </c>
      <c r="H91">
        <v>8</v>
      </c>
      <c r="I91">
        <v>30.19</v>
      </c>
    </row>
    <row r="92" spans="1:9" hidden="1" x14ac:dyDescent="0.3">
      <c r="A92" t="s">
        <v>24</v>
      </c>
      <c r="B92" t="s">
        <v>25</v>
      </c>
      <c r="C92" t="s">
        <v>17</v>
      </c>
      <c r="D92">
        <v>1010</v>
      </c>
      <c r="E92">
        <v>995</v>
      </c>
      <c r="F92">
        <v>265</v>
      </c>
      <c r="G92">
        <v>730</v>
      </c>
      <c r="H92">
        <v>15</v>
      </c>
      <c r="I92">
        <v>26.63</v>
      </c>
    </row>
    <row r="93" spans="1:9" hidden="1" x14ac:dyDescent="0.3">
      <c r="A93" t="s">
        <v>24</v>
      </c>
      <c r="B93" t="s">
        <v>18</v>
      </c>
      <c r="C93" t="s">
        <v>11</v>
      </c>
      <c r="D93">
        <v>1025</v>
      </c>
      <c r="E93">
        <v>1018</v>
      </c>
      <c r="F93">
        <v>579</v>
      </c>
      <c r="G93">
        <v>439</v>
      </c>
      <c r="H93">
        <v>7</v>
      </c>
      <c r="I93">
        <v>56.88</v>
      </c>
    </row>
    <row r="94" spans="1:9" hidden="1" x14ac:dyDescent="0.3">
      <c r="A94" t="s">
        <v>24</v>
      </c>
      <c r="B94" t="s">
        <v>18</v>
      </c>
      <c r="C94" t="s">
        <v>12</v>
      </c>
      <c r="D94">
        <v>967</v>
      </c>
      <c r="E94">
        <v>960</v>
      </c>
      <c r="F94">
        <v>410</v>
      </c>
      <c r="G94">
        <v>550</v>
      </c>
      <c r="H94">
        <v>7</v>
      </c>
      <c r="I94">
        <v>42.71</v>
      </c>
    </row>
    <row r="95" spans="1:9" hidden="1" x14ac:dyDescent="0.3">
      <c r="A95" t="s">
        <v>24</v>
      </c>
      <c r="B95" t="s">
        <v>18</v>
      </c>
      <c r="C95" t="s">
        <v>13</v>
      </c>
      <c r="D95">
        <v>1025</v>
      </c>
      <c r="E95">
        <v>1017</v>
      </c>
      <c r="F95">
        <v>461</v>
      </c>
      <c r="G95">
        <v>556</v>
      </c>
      <c r="H95">
        <v>8</v>
      </c>
      <c r="I95">
        <v>45.33</v>
      </c>
    </row>
    <row r="96" spans="1:9" hidden="1" x14ac:dyDescent="0.3">
      <c r="A96" t="s">
        <v>24</v>
      </c>
      <c r="B96" t="s">
        <v>18</v>
      </c>
      <c r="C96" t="s">
        <v>14</v>
      </c>
      <c r="D96">
        <v>1025</v>
      </c>
      <c r="E96">
        <v>998</v>
      </c>
      <c r="F96">
        <v>351</v>
      </c>
      <c r="G96">
        <v>647</v>
      </c>
      <c r="H96">
        <v>27</v>
      </c>
      <c r="I96">
        <v>35.17</v>
      </c>
    </row>
    <row r="97" spans="1:9" hidden="1" x14ac:dyDescent="0.3">
      <c r="A97" t="s">
        <v>24</v>
      </c>
      <c r="B97" t="s">
        <v>18</v>
      </c>
      <c r="C97" t="s">
        <v>15</v>
      </c>
      <c r="D97">
        <v>900</v>
      </c>
      <c r="E97">
        <v>900</v>
      </c>
      <c r="F97">
        <v>367</v>
      </c>
      <c r="G97">
        <v>533</v>
      </c>
      <c r="H97">
        <v>0</v>
      </c>
      <c r="I97">
        <v>40.78</v>
      </c>
    </row>
    <row r="98" spans="1:9" hidden="1" x14ac:dyDescent="0.3">
      <c r="A98" t="s">
        <v>24</v>
      </c>
      <c r="B98" t="s">
        <v>18</v>
      </c>
      <c r="C98" t="s">
        <v>16</v>
      </c>
      <c r="D98">
        <v>1025</v>
      </c>
      <c r="E98">
        <v>1025</v>
      </c>
      <c r="F98">
        <v>428</v>
      </c>
      <c r="G98">
        <v>597</v>
      </c>
      <c r="H98">
        <v>0</v>
      </c>
      <c r="I98">
        <v>41.76</v>
      </c>
    </row>
    <row r="99" spans="1:9" hidden="1" x14ac:dyDescent="0.3">
      <c r="A99" t="s">
        <v>24</v>
      </c>
      <c r="B99" t="s">
        <v>18</v>
      </c>
      <c r="C99" t="s">
        <v>17</v>
      </c>
      <c r="D99">
        <v>1010</v>
      </c>
      <c r="E99">
        <v>1000</v>
      </c>
      <c r="F99">
        <v>434</v>
      </c>
      <c r="G99">
        <v>566</v>
      </c>
      <c r="H99">
        <v>10</v>
      </c>
      <c r="I99">
        <v>43.4</v>
      </c>
    </row>
    <row r="100" spans="1:9" hidden="1" x14ac:dyDescent="0.3">
      <c r="A100" t="s">
        <v>24</v>
      </c>
      <c r="B100" t="s">
        <v>19</v>
      </c>
      <c r="C100" t="s">
        <v>11</v>
      </c>
      <c r="D100">
        <v>1025</v>
      </c>
      <c r="E100">
        <v>1022</v>
      </c>
      <c r="F100">
        <v>636</v>
      </c>
      <c r="G100">
        <v>386</v>
      </c>
      <c r="H100">
        <v>3</v>
      </c>
      <c r="I100">
        <v>62.23</v>
      </c>
    </row>
    <row r="101" spans="1:9" hidden="1" x14ac:dyDescent="0.3">
      <c r="A101" t="s">
        <v>24</v>
      </c>
      <c r="B101" t="s">
        <v>19</v>
      </c>
      <c r="C101" t="s">
        <v>12</v>
      </c>
      <c r="D101">
        <v>967</v>
      </c>
      <c r="E101">
        <v>962</v>
      </c>
      <c r="F101">
        <v>452</v>
      </c>
      <c r="G101">
        <v>510</v>
      </c>
      <c r="H101">
        <v>5</v>
      </c>
      <c r="I101">
        <v>46.99</v>
      </c>
    </row>
    <row r="102" spans="1:9" hidden="1" x14ac:dyDescent="0.3">
      <c r="A102" t="s">
        <v>24</v>
      </c>
      <c r="B102" t="s">
        <v>19</v>
      </c>
      <c r="C102" t="s">
        <v>13</v>
      </c>
      <c r="D102">
        <v>1025</v>
      </c>
      <c r="E102">
        <v>1025</v>
      </c>
      <c r="F102">
        <v>516</v>
      </c>
      <c r="G102">
        <v>509</v>
      </c>
      <c r="H102">
        <v>0</v>
      </c>
      <c r="I102">
        <v>50.34</v>
      </c>
    </row>
    <row r="103" spans="1:9" hidden="1" x14ac:dyDescent="0.3">
      <c r="A103" t="s">
        <v>24</v>
      </c>
      <c r="B103" t="s">
        <v>19</v>
      </c>
      <c r="C103" t="s">
        <v>14</v>
      </c>
      <c r="D103">
        <v>1025</v>
      </c>
      <c r="E103">
        <v>1019</v>
      </c>
      <c r="F103">
        <v>363</v>
      </c>
      <c r="G103">
        <v>656</v>
      </c>
      <c r="H103">
        <v>6</v>
      </c>
      <c r="I103">
        <v>35.619999999999997</v>
      </c>
    </row>
    <row r="104" spans="1:9" hidden="1" x14ac:dyDescent="0.3">
      <c r="A104" t="s">
        <v>24</v>
      </c>
      <c r="B104" t="s">
        <v>19</v>
      </c>
      <c r="C104" t="s">
        <v>15</v>
      </c>
      <c r="D104">
        <v>900</v>
      </c>
      <c r="E104">
        <v>900</v>
      </c>
      <c r="F104">
        <v>445</v>
      </c>
      <c r="G104">
        <v>455</v>
      </c>
      <c r="H104">
        <v>0</v>
      </c>
      <c r="I104">
        <v>49.44</v>
      </c>
    </row>
    <row r="105" spans="1:9" hidden="1" x14ac:dyDescent="0.3">
      <c r="A105" t="s">
        <v>24</v>
      </c>
      <c r="B105" t="s">
        <v>19</v>
      </c>
      <c r="C105" t="s">
        <v>16</v>
      </c>
      <c r="D105">
        <v>1025</v>
      </c>
      <c r="E105">
        <v>1025</v>
      </c>
      <c r="F105">
        <v>490</v>
      </c>
      <c r="G105">
        <v>535</v>
      </c>
      <c r="H105">
        <v>0</v>
      </c>
      <c r="I105">
        <v>47.8</v>
      </c>
    </row>
    <row r="106" spans="1:9" hidden="1" x14ac:dyDescent="0.3">
      <c r="A106" t="s">
        <v>24</v>
      </c>
      <c r="B106" t="s">
        <v>19</v>
      </c>
      <c r="C106" t="s">
        <v>17</v>
      </c>
      <c r="D106">
        <v>1010</v>
      </c>
      <c r="E106">
        <v>1008</v>
      </c>
      <c r="F106">
        <v>465</v>
      </c>
      <c r="G106">
        <v>543</v>
      </c>
      <c r="H106">
        <v>2</v>
      </c>
      <c r="I106">
        <v>46.13</v>
      </c>
    </row>
    <row r="107" spans="1:9" hidden="1" x14ac:dyDescent="0.3">
      <c r="A107" t="s">
        <v>24</v>
      </c>
      <c r="B107" t="s">
        <v>20</v>
      </c>
      <c r="C107" t="s">
        <v>11</v>
      </c>
      <c r="D107">
        <v>1025</v>
      </c>
      <c r="E107">
        <v>1016</v>
      </c>
      <c r="F107">
        <v>572</v>
      </c>
      <c r="G107">
        <v>444</v>
      </c>
      <c r="H107">
        <v>9</v>
      </c>
      <c r="I107">
        <v>56.3</v>
      </c>
    </row>
    <row r="108" spans="1:9" hidden="1" x14ac:dyDescent="0.3">
      <c r="A108" t="s">
        <v>24</v>
      </c>
      <c r="B108" t="s">
        <v>20</v>
      </c>
      <c r="C108" t="s">
        <v>12</v>
      </c>
      <c r="D108">
        <v>967</v>
      </c>
      <c r="E108">
        <v>960</v>
      </c>
      <c r="F108">
        <v>406</v>
      </c>
      <c r="G108">
        <v>554</v>
      </c>
      <c r="H108">
        <v>7</v>
      </c>
      <c r="I108">
        <v>42.29</v>
      </c>
    </row>
    <row r="109" spans="1:9" hidden="1" x14ac:dyDescent="0.3">
      <c r="A109" t="s">
        <v>24</v>
      </c>
      <c r="B109" t="s">
        <v>20</v>
      </c>
      <c r="C109" t="s">
        <v>13</v>
      </c>
      <c r="D109">
        <v>1025</v>
      </c>
      <c r="E109">
        <v>1021</v>
      </c>
      <c r="F109">
        <v>456</v>
      </c>
      <c r="G109">
        <v>565</v>
      </c>
      <c r="H109">
        <v>4</v>
      </c>
      <c r="I109">
        <v>44.66</v>
      </c>
    </row>
    <row r="110" spans="1:9" hidden="1" x14ac:dyDescent="0.3">
      <c r="A110" t="s">
        <v>24</v>
      </c>
      <c r="B110" t="s">
        <v>20</v>
      </c>
      <c r="C110" t="s">
        <v>14</v>
      </c>
      <c r="D110">
        <v>1025</v>
      </c>
      <c r="E110">
        <v>1005</v>
      </c>
      <c r="F110">
        <v>334</v>
      </c>
      <c r="G110">
        <v>671</v>
      </c>
      <c r="H110">
        <v>20</v>
      </c>
      <c r="I110">
        <v>33.229999999999997</v>
      </c>
    </row>
    <row r="111" spans="1:9" hidden="1" x14ac:dyDescent="0.3">
      <c r="A111" t="s">
        <v>24</v>
      </c>
      <c r="B111" t="s">
        <v>20</v>
      </c>
      <c r="C111" t="s">
        <v>15</v>
      </c>
      <c r="D111">
        <v>900</v>
      </c>
      <c r="E111">
        <v>893</v>
      </c>
      <c r="F111">
        <v>390</v>
      </c>
      <c r="G111">
        <v>503</v>
      </c>
      <c r="H111">
        <v>7</v>
      </c>
      <c r="I111">
        <v>43.67</v>
      </c>
    </row>
    <row r="112" spans="1:9" hidden="1" x14ac:dyDescent="0.3">
      <c r="A112" t="s">
        <v>24</v>
      </c>
      <c r="B112" t="s">
        <v>20</v>
      </c>
      <c r="C112" t="s">
        <v>16</v>
      </c>
      <c r="D112">
        <v>1025</v>
      </c>
      <c r="E112">
        <v>1023</v>
      </c>
      <c r="F112">
        <v>456</v>
      </c>
      <c r="G112">
        <v>567</v>
      </c>
      <c r="H112">
        <v>2</v>
      </c>
      <c r="I112">
        <v>44.57</v>
      </c>
    </row>
    <row r="113" spans="1:9" hidden="1" x14ac:dyDescent="0.3">
      <c r="A113" t="s">
        <v>24</v>
      </c>
      <c r="B113" t="s">
        <v>20</v>
      </c>
      <c r="C113" t="s">
        <v>17</v>
      </c>
      <c r="D113">
        <v>1010</v>
      </c>
      <c r="E113">
        <v>1006</v>
      </c>
      <c r="F113">
        <v>427</v>
      </c>
      <c r="G113">
        <v>579</v>
      </c>
      <c r="H113">
        <v>4</v>
      </c>
      <c r="I113">
        <v>42.45</v>
      </c>
    </row>
    <row r="114" spans="1:9" hidden="1" x14ac:dyDescent="0.3">
      <c r="A114" t="s">
        <v>24</v>
      </c>
      <c r="B114" t="s">
        <v>21</v>
      </c>
      <c r="C114" t="s">
        <v>11</v>
      </c>
      <c r="D114">
        <v>1025</v>
      </c>
      <c r="E114">
        <v>432</v>
      </c>
      <c r="F114">
        <v>180</v>
      </c>
      <c r="G114">
        <v>252</v>
      </c>
      <c r="H114">
        <v>593</v>
      </c>
      <c r="I114">
        <v>41.67</v>
      </c>
    </row>
    <row r="115" spans="1:9" hidden="1" x14ac:dyDescent="0.3">
      <c r="A115" t="s">
        <v>24</v>
      </c>
      <c r="B115" t="s">
        <v>21</v>
      </c>
      <c r="C115" t="s">
        <v>12</v>
      </c>
      <c r="D115">
        <v>967</v>
      </c>
      <c r="E115">
        <v>432</v>
      </c>
      <c r="F115">
        <v>170</v>
      </c>
      <c r="G115">
        <v>262</v>
      </c>
      <c r="H115">
        <v>535</v>
      </c>
      <c r="I115">
        <v>39.35</v>
      </c>
    </row>
    <row r="116" spans="1:9" hidden="1" x14ac:dyDescent="0.3">
      <c r="A116" t="s">
        <v>24</v>
      </c>
      <c r="B116" t="s">
        <v>21</v>
      </c>
      <c r="C116" t="s">
        <v>13</v>
      </c>
      <c r="D116">
        <v>1025</v>
      </c>
      <c r="E116">
        <v>382</v>
      </c>
      <c r="F116">
        <v>142</v>
      </c>
      <c r="G116">
        <v>240</v>
      </c>
      <c r="H116">
        <v>643</v>
      </c>
      <c r="I116">
        <v>37.17</v>
      </c>
    </row>
    <row r="117" spans="1:9" hidden="1" x14ac:dyDescent="0.3">
      <c r="A117" t="s">
        <v>24</v>
      </c>
      <c r="B117" t="s">
        <v>21</v>
      </c>
      <c r="C117" t="s">
        <v>14</v>
      </c>
      <c r="D117">
        <v>1025</v>
      </c>
      <c r="E117">
        <v>373</v>
      </c>
      <c r="F117">
        <v>96</v>
      </c>
      <c r="G117">
        <v>277</v>
      </c>
      <c r="H117">
        <v>652</v>
      </c>
      <c r="I117">
        <v>25.74</v>
      </c>
    </row>
    <row r="118" spans="1:9" hidden="1" x14ac:dyDescent="0.3">
      <c r="A118" t="s">
        <v>24</v>
      </c>
      <c r="B118" t="s">
        <v>21</v>
      </c>
      <c r="C118" t="s">
        <v>15</v>
      </c>
      <c r="D118">
        <v>900</v>
      </c>
      <c r="E118">
        <v>576</v>
      </c>
      <c r="F118">
        <v>252</v>
      </c>
      <c r="G118">
        <v>324</v>
      </c>
      <c r="H118">
        <v>324</v>
      </c>
      <c r="I118">
        <v>43.75</v>
      </c>
    </row>
    <row r="119" spans="1:9" hidden="1" x14ac:dyDescent="0.3">
      <c r="A119" t="s">
        <v>24</v>
      </c>
      <c r="B119" t="s">
        <v>21</v>
      </c>
      <c r="C119" t="s">
        <v>16</v>
      </c>
      <c r="D119">
        <v>1025</v>
      </c>
      <c r="E119">
        <v>521</v>
      </c>
      <c r="F119">
        <v>164</v>
      </c>
      <c r="G119">
        <v>357</v>
      </c>
      <c r="H119">
        <v>504</v>
      </c>
      <c r="I119">
        <v>31.48</v>
      </c>
    </row>
    <row r="120" spans="1:9" hidden="1" x14ac:dyDescent="0.3">
      <c r="A120" t="s">
        <v>24</v>
      </c>
      <c r="B120" t="s">
        <v>21</v>
      </c>
      <c r="C120" t="s">
        <v>17</v>
      </c>
      <c r="D120">
        <v>1010</v>
      </c>
      <c r="E120">
        <v>419</v>
      </c>
      <c r="F120">
        <v>160</v>
      </c>
      <c r="G120">
        <v>259</v>
      </c>
      <c r="H120">
        <v>591</v>
      </c>
      <c r="I120">
        <v>38.19</v>
      </c>
    </row>
  </sheetData>
  <autoFilter ref="A1:I120" xr:uid="{00000000-0001-0000-0000-000000000000}">
    <filterColumn colId="0">
      <filters>
        <filter val="1_no_prompt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7E96-816D-42EC-908A-86DFF31CE561}">
  <sheetPr filterMode="1"/>
  <dimension ref="A1:I36"/>
  <sheetViews>
    <sheetView workbookViewId="0">
      <selection sqref="A1:I22"/>
    </sheetView>
  </sheetViews>
  <sheetFormatPr baseColWidth="10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A2" t="s">
        <v>9</v>
      </c>
      <c r="B2" t="s">
        <v>10</v>
      </c>
      <c r="C2" t="s">
        <v>11</v>
      </c>
      <c r="D2">
        <v>1025</v>
      </c>
      <c r="E2">
        <v>75</v>
      </c>
      <c r="F2">
        <v>17</v>
      </c>
      <c r="G2">
        <v>58</v>
      </c>
      <c r="H2">
        <v>950</v>
      </c>
      <c r="I2">
        <v>22.67</v>
      </c>
    </row>
    <row r="3" spans="1:9" hidden="1" x14ac:dyDescent="0.3">
      <c r="A3" t="s">
        <v>9</v>
      </c>
      <c r="B3" t="s">
        <v>10</v>
      </c>
      <c r="C3" t="s">
        <v>12</v>
      </c>
      <c r="D3">
        <v>967</v>
      </c>
      <c r="E3">
        <v>82</v>
      </c>
      <c r="F3">
        <v>25</v>
      </c>
      <c r="G3">
        <v>57</v>
      </c>
      <c r="H3">
        <v>885</v>
      </c>
      <c r="I3">
        <v>30.49</v>
      </c>
    </row>
    <row r="4" spans="1:9" hidden="1" x14ac:dyDescent="0.3">
      <c r="A4" t="s">
        <v>9</v>
      </c>
      <c r="B4" t="s">
        <v>10</v>
      </c>
      <c r="C4" t="s">
        <v>13</v>
      </c>
      <c r="D4">
        <v>1025</v>
      </c>
      <c r="E4">
        <v>115</v>
      </c>
      <c r="F4">
        <v>34</v>
      </c>
      <c r="G4">
        <v>81</v>
      </c>
      <c r="H4">
        <v>910</v>
      </c>
      <c r="I4">
        <v>29.57</v>
      </c>
    </row>
    <row r="5" spans="1:9" hidden="1" x14ac:dyDescent="0.3">
      <c r="A5" t="s">
        <v>9</v>
      </c>
      <c r="B5" t="s">
        <v>10</v>
      </c>
      <c r="C5" t="s">
        <v>14</v>
      </c>
      <c r="D5">
        <v>1025</v>
      </c>
      <c r="E5">
        <v>557</v>
      </c>
      <c r="F5">
        <v>133</v>
      </c>
      <c r="G5">
        <v>424</v>
      </c>
      <c r="H5">
        <v>468</v>
      </c>
      <c r="I5">
        <v>23.88</v>
      </c>
    </row>
    <row r="6" spans="1:9" hidden="1" x14ac:dyDescent="0.3">
      <c r="A6" t="s">
        <v>9</v>
      </c>
      <c r="B6" t="s">
        <v>10</v>
      </c>
      <c r="C6" t="s">
        <v>15</v>
      </c>
      <c r="D6">
        <v>900</v>
      </c>
      <c r="E6">
        <v>27</v>
      </c>
      <c r="F6">
        <v>7</v>
      </c>
      <c r="G6">
        <v>20</v>
      </c>
      <c r="H6">
        <v>873</v>
      </c>
      <c r="I6">
        <v>25.93</v>
      </c>
    </row>
    <row r="7" spans="1:9" hidden="1" x14ac:dyDescent="0.3">
      <c r="A7" t="s">
        <v>9</v>
      </c>
      <c r="B7" t="s">
        <v>10</v>
      </c>
      <c r="C7" t="s">
        <v>16</v>
      </c>
      <c r="D7">
        <v>1025</v>
      </c>
      <c r="E7">
        <v>128</v>
      </c>
      <c r="F7">
        <v>33</v>
      </c>
      <c r="G7">
        <v>95</v>
      </c>
      <c r="H7">
        <v>897</v>
      </c>
      <c r="I7">
        <v>25.78</v>
      </c>
    </row>
    <row r="8" spans="1:9" hidden="1" x14ac:dyDescent="0.3">
      <c r="A8" t="s">
        <v>9</v>
      </c>
      <c r="B8" t="s">
        <v>10</v>
      </c>
      <c r="C8" t="s">
        <v>17</v>
      </c>
      <c r="D8">
        <v>1010</v>
      </c>
      <c r="E8">
        <v>186</v>
      </c>
      <c r="F8">
        <v>46</v>
      </c>
      <c r="G8">
        <v>140</v>
      </c>
      <c r="H8">
        <v>824</v>
      </c>
      <c r="I8">
        <v>24.73</v>
      </c>
    </row>
    <row r="9" spans="1:9" hidden="1" x14ac:dyDescent="0.3">
      <c r="A9" t="s">
        <v>9</v>
      </c>
      <c r="B9" t="s">
        <v>18</v>
      </c>
      <c r="C9" t="s">
        <v>11</v>
      </c>
      <c r="D9">
        <v>1025</v>
      </c>
      <c r="E9">
        <v>1017</v>
      </c>
      <c r="F9">
        <v>568</v>
      </c>
      <c r="G9">
        <v>449</v>
      </c>
      <c r="H9">
        <v>8</v>
      </c>
      <c r="I9">
        <v>55.85</v>
      </c>
    </row>
    <row r="10" spans="1:9" hidden="1" x14ac:dyDescent="0.3">
      <c r="A10" t="s">
        <v>9</v>
      </c>
      <c r="B10" t="s">
        <v>18</v>
      </c>
      <c r="C10" t="s">
        <v>12</v>
      </c>
      <c r="D10">
        <v>967</v>
      </c>
      <c r="E10">
        <v>911</v>
      </c>
      <c r="F10">
        <v>378</v>
      </c>
      <c r="G10">
        <v>533</v>
      </c>
      <c r="H10">
        <v>56</v>
      </c>
      <c r="I10">
        <v>41.49</v>
      </c>
    </row>
    <row r="11" spans="1:9" hidden="1" x14ac:dyDescent="0.3">
      <c r="A11" t="s">
        <v>9</v>
      </c>
      <c r="B11" t="s">
        <v>18</v>
      </c>
      <c r="C11" t="s">
        <v>13</v>
      </c>
      <c r="D11">
        <v>1025</v>
      </c>
      <c r="E11">
        <v>1008</v>
      </c>
      <c r="F11">
        <v>458</v>
      </c>
      <c r="G11">
        <v>550</v>
      </c>
      <c r="H11">
        <v>17</v>
      </c>
      <c r="I11">
        <v>45.44</v>
      </c>
    </row>
    <row r="12" spans="1:9" hidden="1" x14ac:dyDescent="0.3">
      <c r="A12" t="s">
        <v>9</v>
      </c>
      <c r="B12" t="s">
        <v>18</v>
      </c>
      <c r="C12" t="s">
        <v>14</v>
      </c>
      <c r="D12">
        <v>1025</v>
      </c>
      <c r="E12">
        <v>996</v>
      </c>
      <c r="F12">
        <v>332</v>
      </c>
      <c r="G12">
        <v>664</v>
      </c>
      <c r="H12">
        <v>29</v>
      </c>
      <c r="I12">
        <v>33.33</v>
      </c>
    </row>
    <row r="13" spans="1:9" hidden="1" x14ac:dyDescent="0.3">
      <c r="A13" t="s">
        <v>9</v>
      </c>
      <c r="B13" t="s">
        <v>18</v>
      </c>
      <c r="C13" t="s">
        <v>15</v>
      </c>
      <c r="D13">
        <v>900</v>
      </c>
      <c r="E13">
        <v>880</v>
      </c>
      <c r="F13">
        <v>357</v>
      </c>
      <c r="G13">
        <v>523</v>
      </c>
      <c r="H13">
        <v>20</v>
      </c>
      <c r="I13">
        <v>40.57</v>
      </c>
    </row>
    <row r="14" spans="1:9" hidden="1" x14ac:dyDescent="0.3">
      <c r="A14" t="s">
        <v>9</v>
      </c>
      <c r="B14" t="s">
        <v>18</v>
      </c>
      <c r="C14" t="s">
        <v>16</v>
      </c>
      <c r="D14">
        <v>1025</v>
      </c>
      <c r="E14">
        <v>968</v>
      </c>
      <c r="F14">
        <v>400</v>
      </c>
      <c r="G14">
        <v>568</v>
      </c>
      <c r="H14">
        <v>57</v>
      </c>
      <c r="I14">
        <v>41.32</v>
      </c>
    </row>
    <row r="15" spans="1:9" hidden="1" x14ac:dyDescent="0.3">
      <c r="A15" t="s">
        <v>9</v>
      </c>
      <c r="B15" t="s">
        <v>18</v>
      </c>
      <c r="C15" t="s">
        <v>17</v>
      </c>
      <c r="D15">
        <v>1010</v>
      </c>
      <c r="E15">
        <v>983</v>
      </c>
      <c r="F15">
        <v>430</v>
      </c>
      <c r="G15">
        <v>553</v>
      </c>
      <c r="H15">
        <v>27</v>
      </c>
      <c r="I15">
        <v>43.74</v>
      </c>
    </row>
    <row r="16" spans="1:9" x14ac:dyDescent="0.3">
      <c r="A16" t="s">
        <v>9</v>
      </c>
      <c r="B16" t="s">
        <v>19</v>
      </c>
      <c r="C16" t="s">
        <v>11</v>
      </c>
      <c r="D16">
        <v>1025</v>
      </c>
      <c r="E16">
        <v>1019</v>
      </c>
      <c r="F16">
        <v>602</v>
      </c>
      <c r="G16">
        <v>417</v>
      </c>
      <c r="H16">
        <v>6</v>
      </c>
      <c r="I16">
        <v>59.08</v>
      </c>
    </row>
    <row r="17" spans="1:9" x14ac:dyDescent="0.3">
      <c r="A17" t="s">
        <v>9</v>
      </c>
      <c r="B17" t="s">
        <v>19</v>
      </c>
      <c r="C17" t="s">
        <v>12</v>
      </c>
      <c r="D17">
        <v>967</v>
      </c>
      <c r="E17">
        <v>945</v>
      </c>
      <c r="F17">
        <v>427</v>
      </c>
      <c r="G17">
        <v>518</v>
      </c>
      <c r="H17">
        <v>22</v>
      </c>
      <c r="I17">
        <v>45.19</v>
      </c>
    </row>
    <row r="18" spans="1:9" x14ac:dyDescent="0.3">
      <c r="A18" t="s">
        <v>9</v>
      </c>
      <c r="B18" t="s">
        <v>19</v>
      </c>
      <c r="C18" t="s">
        <v>13</v>
      </c>
      <c r="D18">
        <v>1025</v>
      </c>
      <c r="E18">
        <v>1016</v>
      </c>
      <c r="F18">
        <v>508</v>
      </c>
      <c r="G18">
        <v>508</v>
      </c>
      <c r="H18">
        <v>9</v>
      </c>
      <c r="I18">
        <v>50</v>
      </c>
    </row>
    <row r="19" spans="1:9" x14ac:dyDescent="0.3">
      <c r="A19" t="s">
        <v>9</v>
      </c>
      <c r="B19" t="s">
        <v>19</v>
      </c>
      <c r="C19" t="s">
        <v>14</v>
      </c>
      <c r="D19">
        <v>1025</v>
      </c>
      <c r="E19">
        <v>1019</v>
      </c>
      <c r="F19">
        <v>334</v>
      </c>
      <c r="G19">
        <v>685</v>
      </c>
      <c r="H19">
        <v>6</v>
      </c>
      <c r="I19">
        <v>32.78</v>
      </c>
    </row>
    <row r="20" spans="1:9" x14ac:dyDescent="0.3">
      <c r="A20" t="s">
        <v>9</v>
      </c>
      <c r="B20" t="s">
        <v>19</v>
      </c>
      <c r="C20" t="s">
        <v>15</v>
      </c>
      <c r="D20">
        <v>900</v>
      </c>
      <c r="E20">
        <v>896</v>
      </c>
      <c r="F20">
        <v>426</v>
      </c>
      <c r="G20">
        <v>470</v>
      </c>
      <c r="H20">
        <v>4</v>
      </c>
      <c r="I20">
        <v>47.54</v>
      </c>
    </row>
    <row r="21" spans="1:9" x14ac:dyDescent="0.3">
      <c r="A21" t="s">
        <v>9</v>
      </c>
      <c r="B21" t="s">
        <v>19</v>
      </c>
      <c r="C21" t="s">
        <v>16</v>
      </c>
      <c r="D21">
        <v>1025</v>
      </c>
      <c r="E21">
        <v>1012</v>
      </c>
      <c r="F21">
        <v>443</v>
      </c>
      <c r="G21">
        <v>569</v>
      </c>
      <c r="H21">
        <v>13</v>
      </c>
      <c r="I21">
        <v>43.77</v>
      </c>
    </row>
    <row r="22" spans="1:9" x14ac:dyDescent="0.3">
      <c r="A22" t="s">
        <v>9</v>
      </c>
      <c r="B22" t="s">
        <v>19</v>
      </c>
      <c r="C22" t="s">
        <v>17</v>
      </c>
      <c r="D22">
        <v>1010</v>
      </c>
      <c r="E22">
        <v>1002</v>
      </c>
      <c r="F22">
        <v>419</v>
      </c>
      <c r="G22">
        <v>583</v>
      </c>
      <c r="H22">
        <v>8</v>
      </c>
      <c r="I22">
        <v>41.82</v>
      </c>
    </row>
    <row r="23" spans="1:9" hidden="1" x14ac:dyDescent="0.3">
      <c r="A23" t="s">
        <v>9</v>
      </c>
      <c r="B23" t="s">
        <v>20</v>
      </c>
      <c r="C23" t="s">
        <v>11</v>
      </c>
      <c r="D23">
        <v>1025</v>
      </c>
      <c r="E23">
        <v>751</v>
      </c>
      <c r="F23">
        <v>339</v>
      </c>
      <c r="G23">
        <v>412</v>
      </c>
      <c r="H23">
        <v>274</v>
      </c>
      <c r="I23">
        <v>45.14</v>
      </c>
    </row>
    <row r="24" spans="1:9" hidden="1" x14ac:dyDescent="0.3">
      <c r="A24" t="s">
        <v>9</v>
      </c>
      <c r="B24" t="s">
        <v>20</v>
      </c>
      <c r="C24" t="s">
        <v>12</v>
      </c>
      <c r="D24">
        <v>967</v>
      </c>
      <c r="E24">
        <v>701</v>
      </c>
      <c r="F24">
        <v>255</v>
      </c>
      <c r="G24">
        <v>446</v>
      </c>
      <c r="H24">
        <v>266</v>
      </c>
      <c r="I24">
        <v>36.380000000000003</v>
      </c>
    </row>
    <row r="25" spans="1:9" hidden="1" x14ac:dyDescent="0.3">
      <c r="A25" t="s">
        <v>9</v>
      </c>
      <c r="B25" t="s">
        <v>20</v>
      </c>
      <c r="C25" t="s">
        <v>13</v>
      </c>
      <c r="D25">
        <v>1025</v>
      </c>
      <c r="E25">
        <v>770</v>
      </c>
      <c r="F25">
        <v>291</v>
      </c>
      <c r="G25">
        <v>479</v>
      </c>
      <c r="H25">
        <v>255</v>
      </c>
      <c r="I25">
        <v>37.79</v>
      </c>
    </row>
    <row r="26" spans="1:9" hidden="1" x14ac:dyDescent="0.3">
      <c r="A26" t="s">
        <v>9</v>
      </c>
      <c r="B26" t="s">
        <v>20</v>
      </c>
      <c r="C26" t="s">
        <v>14</v>
      </c>
      <c r="D26">
        <v>1025</v>
      </c>
      <c r="E26">
        <v>949</v>
      </c>
      <c r="F26">
        <v>285</v>
      </c>
      <c r="G26">
        <v>664</v>
      </c>
      <c r="H26">
        <v>76</v>
      </c>
      <c r="I26">
        <v>30.03</v>
      </c>
    </row>
    <row r="27" spans="1:9" hidden="1" x14ac:dyDescent="0.3">
      <c r="A27" t="s">
        <v>9</v>
      </c>
      <c r="B27" t="s">
        <v>20</v>
      </c>
      <c r="C27" t="s">
        <v>15</v>
      </c>
      <c r="D27">
        <v>900</v>
      </c>
      <c r="E27">
        <v>653</v>
      </c>
      <c r="F27">
        <v>229</v>
      </c>
      <c r="G27">
        <v>424</v>
      </c>
      <c r="H27">
        <v>247</v>
      </c>
      <c r="I27">
        <v>35.07</v>
      </c>
    </row>
    <row r="28" spans="1:9" hidden="1" x14ac:dyDescent="0.3">
      <c r="A28" t="s">
        <v>9</v>
      </c>
      <c r="B28" t="s">
        <v>20</v>
      </c>
      <c r="C28" t="s">
        <v>16</v>
      </c>
      <c r="D28">
        <v>1025</v>
      </c>
      <c r="E28">
        <v>688</v>
      </c>
      <c r="F28">
        <v>228</v>
      </c>
      <c r="G28">
        <v>460</v>
      </c>
      <c r="H28">
        <v>337</v>
      </c>
      <c r="I28">
        <v>33.14</v>
      </c>
    </row>
    <row r="29" spans="1:9" hidden="1" x14ac:dyDescent="0.3">
      <c r="A29" t="s">
        <v>9</v>
      </c>
      <c r="B29" t="s">
        <v>20</v>
      </c>
      <c r="C29" t="s">
        <v>17</v>
      </c>
      <c r="D29">
        <v>1010</v>
      </c>
      <c r="E29">
        <v>833</v>
      </c>
      <c r="F29">
        <v>283</v>
      </c>
      <c r="G29">
        <v>550</v>
      </c>
      <c r="H29">
        <v>177</v>
      </c>
      <c r="I29">
        <v>33.97</v>
      </c>
    </row>
    <row r="30" spans="1:9" hidden="1" x14ac:dyDescent="0.3">
      <c r="A30" t="s">
        <v>9</v>
      </c>
      <c r="B30" t="s">
        <v>21</v>
      </c>
      <c r="C30" t="s">
        <v>11</v>
      </c>
      <c r="D30">
        <v>1025</v>
      </c>
      <c r="E30">
        <v>235</v>
      </c>
      <c r="F30">
        <v>70</v>
      </c>
      <c r="G30">
        <v>165</v>
      </c>
      <c r="H30">
        <v>790</v>
      </c>
      <c r="I30">
        <v>29.79</v>
      </c>
    </row>
    <row r="31" spans="1:9" hidden="1" x14ac:dyDescent="0.3">
      <c r="A31" t="s">
        <v>9</v>
      </c>
      <c r="B31" t="s">
        <v>21</v>
      </c>
      <c r="C31" t="s">
        <v>12</v>
      </c>
      <c r="D31">
        <v>967</v>
      </c>
      <c r="E31">
        <v>295</v>
      </c>
      <c r="F31">
        <v>103</v>
      </c>
      <c r="G31">
        <v>192</v>
      </c>
      <c r="H31">
        <v>672</v>
      </c>
      <c r="I31">
        <v>34.92</v>
      </c>
    </row>
    <row r="32" spans="1:9" hidden="1" x14ac:dyDescent="0.3">
      <c r="A32" t="s">
        <v>9</v>
      </c>
      <c r="B32" t="s">
        <v>21</v>
      </c>
      <c r="C32" t="s">
        <v>13</v>
      </c>
      <c r="D32">
        <v>1025</v>
      </c>
      <c r="E32">
        <v>254</v>
      </c>
      <c r="F32">
        <v>80</v>
      </c>
      <c r="G32">
        <v>174</v>
      </c>
      <c r="H32">
        <v>771</v>
      </c>
      <c r="I32">
        <v>31.5</v>
      </c>
    </row>
    <row r="33" spans="1:9" hidden="1" x14ac:dyDescent="0.3">
      <c r="A33" t="s">
        <v>9</v>
      </c>
      <c r="B33" t="s">
        <v>21</v>
      </c>
      <c r="C33" t="s">
        <v>14</v>
      </c>
      <c r="D33">
        <v>1025</v>
      </c>
      <c r="E33">
        <v>268</v>
      </c>
      <c r="F33">
        <v>70</v>
      </c>
      <c r="G33">
        <v>198</v>
      </c>
      <c r="H33">
        <v>757</v>
      </c>
      <c r="I33">
        <v>26.12</v>
      </c>
    </row>
    <row r="34" spans="1:9" hidden="1" x14ac:dyDescent="0.3">
      <c r="A34" t="s">
        <v>9</v>
      </c>
      <c r="B34" t="s">
        <v>21</v>
      </c>
      <c r="C34" t="s">
        <v>15</v>
      </c>
      <c r="D34">
        <v>900</v>
      </c>
      <c r="E34">
        <v>185</v>
      </c>
      <c r="F34">
        <v>58</v>
      </c>
      <c r="G34">
        <v>127</v>
      </c>
      <c r="H34">
        <v>715</v>
      </c>
      <c r="I34">
        <v>31.35</v>
      </c>
    </row>
    <row r="35" spans="1:9" hidden="1" x14ac:dyDescent="0.3">
      <c r="A35" t="s">
        <v>9</v>
      </c>
      <c r="B35" t="s">
        <v>21</v>
      </c>
      <c r="C35" t="s">
        <v>16</v>
      </c>
      <c r="D35">
        <v>1025</v>
      </c>
      <c r="E35">
        <v>219</v>
      </c>
      <c r="F35">
        <v>55</v>
      </c>
      <c r="G35">
        <v>164</v>
      </c>
      <c r="H35">
        <v>806</v>
      </c>
      <c r="I35">
        <v>25.11</v>
      </c>
    </row>
    <row r="36" spans="1:9" hidden="1" x14ac:dyDescent="0.3">
      <c r="A36" t="s">
        <v>9</v>
      </c>
      <c r="B36" t="s">
        <v>21</v>
      </c>
      <c r="C36" t="s">
        <v>17</v>
      </c>
      <c r="D36">
        <v>1010</v>
      </c>
      <c r="E36">
        <v>235</v>
      </c>
      <c r="F36">
        <v>52</v>
      </c>
      <c r="G36">
        <v>183</v>
      </c>
      <c r="H36">
        <v>775</v>
      </c>
      <c r="I36">
        <v>22.13</v>
      </c>
    </row>
  </sheetData>
  <autoFilter ref="A1:I36" xr:uid="{11547E96-816D-42EC-908A-86DFF31CE561}">
    <filterColumn colId="1">
      <filters>
        <filter val="llama3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59D1-F5B3-4BC9-97DD-563A86E459EF}">
  <dimension ref="A1:I11"/>
  <sheetViews>
    <sheetView tabSelected="1" workbookViewId="0">
      <selection activeCell="K12" sqref="K12"/>
    </sheetView>
  </sheetViews>
  <sheetFormatPr baseColWidth="10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19</v>
      </c>
      <c r="C2" t="s">
        <v>11</v>
      </c>
      <c r="D2">
        <v>1025</v>
      </c>
      <c r="E2">
        <v>1019</v>
      </c>
      <c r="F2">
        <v>602</v>
      </c>
      <c r="G2">
        <v>417</v>
      </c>
      <c r="H2">
        <v>6</v>
      </c>
      <c r="I2">
        <v>59.08</v>
      </c>
    </row>
    <row r="3" spans="1:9" x14ac:dyDescent="0.3">
      <c r="A3" t="s">
        <v>9</v>
      </c>
      <c r="B3" t="s">
        <v>19</v>
      </c>
      <c r="C3" t="s">
        <v>12</v>
      </c>
      <c r="D3">
        <v>967</v>
      </c>
      <c r="E3">
        <v>945</v>
      </c>
      <c r="F3">
        <v>427</v>
      </c>
      <c r="G3">
        <v>518</v>
      </c>
      <c r="H3">
        <v>22</v>
      </c>
      <c r="I3">
        <v>45.19</v>
      </c>
    </row>
    <row r="4" spans="1:9" x14ac:dyDescent="0.3">
      <c r="A4" t="s">
        <v>9</v>
      </c>
      <c r="B4" t="s">
        <v>19</v>
      </c>
      <c r="C4" t="s">
        <v>13</v>
      </c>
      <c r="D4">
        <v>1025</v>
      </c>
      <c r="E4">
        <v>1016</v>
      </c>
      <c r="F4">
        <v>508</v>
      </c>
      <c r="G4">
        <v>508</v>
      </c>
      <c r="H4">
        <v>9</v>
      </c>
      <c r="I4">
        <v>50</v>
      </c>
    </row>
    <row r="5" spans="1:9" x14ac:dyDescent="0.3">
      <c r="A5" t="s">
        <v>9</v>
      </c>
      <c r="B5" t="s">
        <v>19</v>
      </c>
      <c r="C5" t="s">
        <v>14</v>
      </c>
      <c r="D5">
        <v>1025</v>
      </c>
      <c r="E5">
        <v>1019</v>
      </c>
      <c r="F5">
        <v>334</v>
      </c>
      <c r="G5">
        <v>685</v>
      </c>
      <c r="H5">
        <v>6</v>
      </c>
      <c r="I5">
        <v>32.78</v>
      </c>
    </row>
    <row r="6" spans="1:9" x14ac:dyDescent="0.3">
      <c r="A6" t="s">
        <v>9</v>
      </c>
      <c r="B6" t="s">
        <v>19</v>
      </c>
      <c r="C6" t="s">
        <v>15</v>
      </c>
      <c r="D6">
        <v>900</v>
      </c>
      <c r="E6">
        <v>896</v>
      </c>
      <c r="F6">
        <v>426</v>
      </c>
      <c r="G6">
        <v>470</v>
      </c>
      <c r="H6">
        <v>4</v>
      </c>
      <c r="I6">
        <v>47.54</v>
      </c>
    </row>
    <row r="7" spans="1:9" x14ac:dyDescent="0.3">
      <c r="A7" t="s">
        <v>9</v>
      </c>
      <c r="B7" t="s">
        <v>19</v>
      </c>
      <c r="C7" t="s">
        <v>16</v>
      </c>
      <c r="D7">
        <v>1025</v>
      </c>
      <c r="E7">
        <v>1012</v>
      </c>
      <c r="F7">
        <v>443</v>
      </c>
      <c r="G7">
        <v>569</v>
      </c>
      <c r="H7">
        <v>13</v>
      </c>
      <c r="I7">
        <v>43.77</v>
      </c>
    </row>
    <row r="8" spans="1:9" x14ac:dyDescent="0.3">
      <c r="A8" t="s">
        <v>9</v>
      </c>
      <c r="B8" t="s">
        <v>19</v>
      </c>
      <c r="C8" t="s">
        <v>17</v>
      </c>
      <c r="D8">
        <v>1010</v>
      </c>
      <c r="E8">
        <v>1002</v>
      </c>
      <c r="F8">
        <v>419</v>
      </c>
      <c r="G8">
        <v>583</v>
      </c>
      <c r="H8">
        <v>8</v>
      </c>
      <c r="I8">
        <v>41.82</v>
      </c>
    </row>
    <row r="9" spans="1:9" x14ac:dyDescent="0.3">
      <c r="D9">
        <f>SUM(D2:D8)</f>
        <v>6977</v>
      </c>
      <c r="E9">
        <f t="shared" ref="E9:H9" si="0">SUM(E2:E8)</f>
        <v>6909</v>
      </c>
      <c r="F9">
        <f t="shared" si="0"/>
        <v>3159</v>
      </c>
      <c r="G9">
        <f t="shared" si="0"/>
        <v>3750</v>
      </c>
      <c r="H9">
        <f t="shared" si="0"/>
        <v>68</v>
      </c>
    </row>
    <row r="11" spans="1:9" x14ac:dyDescent="0.3">
      <c r="E11">
        <f>F9+G9</f>
        <v>6909</v>
      </c>
      <c r="F11">
        <f>F9+G9+H9</f>
        <v>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Lorena Ariceta García</cp:lastModifiedBy>
  <dcterms:created xsi:type="dcterms:W3CDTF">2025-10-14T08:28:32Z</dcterms:created>
  <dcterms:modified xsi:type="dcterms:W3CDTF">2026-01-13T13:37:56Z</dcterms:modified>
</cp:coreProperties>
</file>