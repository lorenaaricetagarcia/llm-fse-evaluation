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8d56eb89965c5422/Escritorio/TFM_UCM/results/2_models/"/>
    </mc:Choice>
  </mc:AlternateContent>
  <xr:revisionPtr revIDLastSave="1147" documentId="11_AD4DCBB4A06381AAC71CFC870ED6D2DE693EDF2A" xr6:coauthVersionLast="47" xr6:coauthVersionMax="47" xr10:uidLastSave="{E0347382-5ADE-48F4-ABEE-AAC0950C4991}"/>
  <bookViews>
    <workbookView xWindow="-108" yWindow="-108" windowWidth="23256" windowHeight="12456" activeTab="2" xr2:uid="{00000000-000D-0000-FFFF-FFFF00000000}"/>
  </bookViews>
  <sheets>
    <sheet name="Prompt" sheetId="10" r:id="rId1"/>
    <sheet name="Prueba_BIOLOGIA_2020" sheetId="1" r:id="rId2"/>
    <sheet name="Global" sheetId="2" r:id="rId3"/>
    <sheet name="MEDICINA" sheetId="7" r:id="rId4"/>
    <sheet name="ENFERMERÍA" sheetId="4" r:id="rId5"/>
    <sheet name="BIOLOGÍA" sheetId="3" r:id="rId6"/>
    <sheet name="FARMACIA" sheetId="5" r:id="rId7"/>
    <sheet name="PSICOLOGÍA" sheetId="8" r:id="rId8"/>
    <sheet name="FÍSICA" sheetId="6" r:id="rId9"/>
    <sheet name="QUÍMICA" sheetId="9" r:id="rId10"/>
  </sheets>
  <definedNames>
    <definedName name="_xlnm._FilterDatabase" localSheetId="1" hidden="1">Prueba_BIOLOGIA_2020!$K$28:$L$28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9" l="1"/>
  <c r="I22" i="9"/>
  <c r="I21" i="9"/>
  <c r="I20" i="9"/>
  <c r="I19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23" i="6"/>
  <c r="I22" i="6"/>
  <c r="I21" i="6"/>
  <c r="I20" i="6"/>
  <c r="I19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23" i="8"/>
  <c r="I22" i="8"/>
  <c r="I21" i="8"/>
  <c r="I20" i="8"/>
  <c r="I19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23" i="5"/>
  <c r="I22" i="5"/>
  <c r="I21" i="5"/>
  <c r="I20" i="5"/>
  <c r="I19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23" i="4"/>
  <c r="I22" i="4"/>
  <c r="I21" i="4"/>
  <c r="I20" i="4"/>
  <c r="I19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23" i="7"/>
  <c r="I22" i="7"/>
  <c r="I21" i="7"/>
  <c r="I20" i="7"/>
  <c r="I19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23" i="2"/>
  <c r="I22" i="2"/>
  <c r="I21" i="2"/>
  <c r="I20" i="2"/>
  <c r="I19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4" i="1"/>
  <c r="D31" i="1"/>
  <c r="C31" i="1"/>
  <c r="D31" i="9"/>
  <c r="C31" i="9"/>
  <c r="H23" i="9"/>
  <c r="H22" i="9"/>
  <c r="H21" i="9"/>
  <c r="H20" i="9"/>
  <c r="H19" i="9"/>
  <c r="H17" i="9"/>
  <c r="H16" i="9"/>
  <c r="H15" i="9"/>
  <c r="H14" i="9"/>
  <c r="H13" i="9"/>
  <c r="H12" i="9"/>
  <c r="H11" i="9"/>
  <c r="H10" i="9"/>
  <c r="H9" i="9"/>
  <c r="H8" i="9"/>
  <c r="H7" i="9"/>
  <c r="N5" i="9" s="1"/>
  <c r="H6" i="9"/>
  <c r="H5" i="9"/>
  <c r="H4" i="9"/>
  <c r="D31" i="6"/>
  <c r="C31" i="6"/>
  <c r="H23" i="6"/>
  <c r="H22" i="6"/>
  <c r="H21" i="6"/>
  <c r="H20" i="6"/>
  <c r="H19" i="6"/>
  <c r="H17" i="6"/>
  <c r="H16" i="6"/>
  <c r="H15" i="6"/>
  <c r="H14" i="6"/>
  <c r="H13" i="6"/>
  <c r="H12" i="6"/>
  <c r="H11" i="6"/>
  <c r="H10" i="6"/>
  <c r="H9" i="6"/>
  <c r="N8" i="6"/>
  <c r="H8" i="6"/>
  <c r="H7" i="6"/>
  <c r="P5" i="6" s="1"/>
  <c r="H6" i="6"/>
  <c r="H5" i="6"/>
  <c r="H4" i="6"/>
  <c r="D31" i="8"/>
  <c r="C31" i="8"/>
  <c r="H23" i="8"/>
  <c r="H22" i="8"/>
  <c r="H21" i="8"/>
  <c r="H20" i="8"/>
  <c r="O10" i="8" s="1"/>
  <c r="H19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D31" i="5"/>
  <c r="C31" i="5"/>
  <c r="H23" i="5"/>
  <c r="H22" i="5"/>
  <c r="H21" i="5"/>
  <c r="H20" i="5"/>
  <c r="H19" i="5"/>
  <c r="H17" i="5"/>
  <c r="H16" i="5"/>
  <c r="O8" i="5" s="1"/>
  <c r="H15" i="5"/>
  <c r="H14" i="5"/>
  <c r="H13" i="5"/>
  <c r="H12" i="5"/>
  <c r="H11" i="5"/>
  <c r="H10" i="5"/>
  <c r="H9" i="5"/>
  <c r="H8" i="5"/>
  <c r="H7" i="5"/>
  <c r="N5" i="5" s="1"/>
  <c r="H6" i="5"/>
  <c r="P4" i="5" s="1"/>
  <c r="H5" i="5"/>
  <c r="H4" i="5"/>
  <c r="D31" i="3"/>
  <c r="C31" i="3"/>
  <c r="H23" i="3"/>
  <c r="H22" i="3"/>
  <c r="H21" i="3"/>
  <c r="H20" i="3"/>
  <c r="H19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1" i="4"/>
  <c r="C31" i="4"/>
  <c r="H23" i="4"/>
  <c r="H22" i="4"/>
  <c r="H21" i="4"/>
  <c r="H20" i="4"/>
  <c r="H19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D31" i="7"/>
  <c r="C31" i="7"/>
  <c r="H23" i="7"/>
  <c r="H22" i="7"/>
  <c r="H21" i="7"/>
  <c r="H20" i="7"/>
  <c r="H19" i="7"/>
  <c r="H17" i="7"/>
  <c r="H16" i="7"/>
  <c r="N8" i="7" s="1"/>
  <c r="H15" i="7"/>
  <c r="H14" i="7"/>
  <c r="H13" i="7"/>
  <c r="H12" i="7"/>
  <c r="H11" i="7"/>
  <c r="H10" i="7"/>
  <c r="H9" i="7"/>
  <c r="H8" i="7"/>
  <c r="H7" i="7"/>
  <c r="H6" i="7"/>
  <c r="H5" i="7"/>
  <c r="H4" i="7"/>
  <c r="N4" i="7" s="1"/>
  <c r="D31" i="2"/>
  <c r="C31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4" i="2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M10" i="1" s="1"/>
  <c r="H5" i="1"/>
  <c r="H6" i="1"/>
  <c r="H4" i="1"/>
  <c r="P6" i="9" l="1"/>
  <c r="N8" i="8"/>
  <c r="N4" i="8"/>
  <c r="O10" i="3"/>
  <c r="N6" i="3"/>
  <c r="N6" i="4"/>
  <c r="P5" i="2"/>
  <c r="L5" i="2"/>
  <c r="P7" i="1"/>
  <c r="P8" i="9"/>
  <c r="P5" i="9"/>
  <c r="N9" i="9"/>
  <c r="N7" i="9"/>
  <c r="N5" i="8"/>
  <c r="P10" i="8"/>
  <c r="N4" i="5"/>
  <c r="P5" i="5"/>
  <c r="M8" i="5"/>
  <c r="N5" i="3"/>
  <c r="O8" i="3"/>
  <c r="P5" i="3"/>
  <c r="N4" i="3"/>
  <c r="L9" i="3"/>
  <c r="P8" i="2"/>
  <c r="L9" i="7"/>
  <c r="L4" i="3"/>
  <c r="L9" i="5"/>
  <c r="P10" i="5"/>
  <c r="P10" i="9"/>
  <c r="M10" i="9"/>
  <c r="N6" i="9"/>
  <c r="P9" i="9"/>
  <c r="P4" i="9"/>
  <c r="M8" i="6"/>
  <c r="P9" i="6"/>
  <c r="L4" i="8"/>
  <c r="L6" i="8"/>
  <c r="O8" i="8"/>
  <c r="M8" i="8"/>
  <c r="N7" i="5"/>
  <c r="N10" i="5"/>
  <c r="P7" i="5"/>
  <c r="N8" i="5"/>
  <c r="P9" i="5"/>
  <c r="N8" i="3"/>
  <c r="N7" i="3"/>
  <c r="N10" i="3"/>
  <c r="P7" i="3"/>
  <c r="P10" i="3"/>
  <c r="P9" i="3"/>
  <c r="P6" i="3"/>
  <c r="L5" i="7"/>
  <c r="P6" i="7"/>
  <c r="P9" i="7"/>
  <c r="L6" i="7"/>
  <c r="L7" i="2"/>
  <c r="M10" i="4"/>
  <c r="O8" i="7"/>
  <c r="P10" i="7"/>
  <c r="P4" i="7"/>
  <c r="N6" i="2"/>
  <c r="P7" i="9"/>
  <c r="N10" i="9"/>
  <c r="N4" i="9"/>
  <c r="L5" i="9"/>
  <c r="O10" i="9"/>
  <c r="M8" i="9"/>
  <c r="N8" i="9"/>
  <c r="L6" i="9"/>
  <c r="L4" i="9"/>
  <c r="O8" i="9"/>
  <c r="M10" i="6"/>
  <c r="L6" i="6"/>
  <c r="L4" i="6"/>
  <c r="N9" i="6"/>
  <c r="N7" i="8"/>
  <c r="M10" i="8"/>
  <c r="P7" i="8"/>
  <c r="P5" i="8"/>
  <c r="P6" i="5"/>
  <c r="M10" i="5"/>
  <c r="L5" i="5"/>
  <c r="O10" i="5"/>
  <c r="P4" i="3"/>
  <c r="L7" i="3"/>
  <c r="M10" i="3"/>
  <c r="P8" i="3"/>
  <c r="L5" i="3"/>
  <c r="M8" i="3"/>
  <c r="L6" i="3"/>
  <c r="N8" i="4"/>
  <c r="N10" i="4"/>
  <c r="N4" i="4"/>
  <c r="N10" i="7"/>
  <c r="P7" i="7"/>
  <c r="P5" i="7"/>
  <c r="P8" i="7"/>
  <c r="N7" i="7"/>
  <c r="L4" i="7"/>
  <c r="O10" i="7"/>
  <c r="M8" i="7"/>
  <c r="N9" i="7"/>
  <c r="N5" i="2"/>
  <c r="P8" i="5"/>
  <c r="L7" i="5"/>
  <c r="L6" i="5"/>
  <c r="L4" i="5"/>
  <c r="L9" i="8"/>
  <c r="P9" i="8"/>
  <c r="P8" i="8"/>
  <c r="P6" i="8"/>
  <c r="L5" i="8"/>
  <c r="P4" i="8"/>
  <c r="P10" i="6"/>
  <c r="L9" i="6"/>
  <c r="P8" i="6"/>
  <c r="L7" i="6"/>
  <c r="P7" i="6"/>
  <c r="P6" i="6"/>
  <c r="L5" i="6"/>
  <c r="P4" i="6"/>
  <c r="P9" i="4"/>
  <c r="N5" i="4"/>
  <c r="P10" i="4"/>
  <c r="N7" i="4"/>
  <c r="L7" i="4"/>
  <c r="O8" i="4"/>
  <c r="M8" i="4"/>
  <c r="N9" i="4"/>
  <c r="P6" i="4"/>
  <c r="P4" i="4"/>
  <c r="L9" i="4"/>
  <c r="P7" i="4"/>
  <c r="P8" i="4"/>
  <c r="L6" i="4"/>
  <c r="P5" i="4"/>
  <c r="L5" i="4"/>
  <c r="L4" i="4"/>
  <c r="L7" i="9"/>
  <c r="L9" i="9"/>
  <c r="N6" i="6"/>
  <c r="O10" i="6"/>
  <c r="O8" i="6"/>
  <c r="N10" i="6"/>
  <c r="N5" i="6"/>
  <c r="N7" i="6"/>
  <c r="N4" i="6"/>
  <c r="N6" i="8"/>
  <c r="N10" i="8"/>
  <c r="L7" i="8"/>
  <c r="N9" i="8"/>
  <c r="N6" i="5"/>
  <c r="N9" i="5"/>
  <c r="N9" i="3"/>
  <c r="O10" i="4"/>
  <c r="N6" i="7"/>
  <c r="M10" i="7"/>
  <c r="L7" i="7"/>
  <c r="N5" i="7"/>
  <c r="N7" i="2"/>
  <c r="P7" i="2"/>
  <c r="L9" i="2"/>
  <c r="P10" i="2"/>
  <c r="L4" i="2"/>
  <c r="M8" i="2"/>
  <c r="N9" i="2"/>
  <c r="P6" i="2"/>
  <c r="M10" i="2"/>
  <c r="P4" i="2"/>
  <c r="P9" i="2"/>
  <c r="L6" i="2"/>
  <c r="N4" i="2"/>
  <c r="N8" i="2"/>
  <c r="O8" i="2"/>
  <c r="N10" i="2"/>
  <c r="O10" i="2"/>
  <c r="N5" i="1"/>
  <c r="N8" i="1"/>
  <c r="N7" i="1"/>
  <c r="N4" i="1"/>
  <c r="N10" i="1"/>
  <c r="P9" i="1"/>
  <c r="N6" i="1"/>
  <c r="L5" i="1"/>
  <c r="O10" i="1"/>
  <c r="L9" i="1"/>
  <c r="P4" i="1"/>
  <c r="P5" i="1"/>
  <c r="M8" i="1"/>
  <c r="P6" i="1"/>
  <c r="P8" i="1"/>
  <c r="O8" i="1"/>
  <c r="P10" i="1"/>
  <c r="L6" i="1"/>
  <c r="L4" i="1"/>
  <c r="N9" i="1"/>
  <c r="L7" i="1"/>
</calcChain>
</file>

<file path=xl/sharedStrings.xml><?xml version="1.0" encoding="utf-8"?>
<sst xmlns="http://schemas.openxmlformats.org/spreadsheetml/2006/main" count="784" uniqueCount="39">
  <si>
    <t>Respondidas por el modelo</t>
  </si>
  <si>
    <t>Aciertos</t>
  </si>
  <si>
    <t>Errores</t>
  </si>
  <si>
    <t>Sin respuesta</t>
  </si>
  <si>
    <t>MODELO</t>
  </si>
  <si>
    <t>llama3</t>
  </si>
  <si>
    <t>mistral</t>
  </si>
  <si>
    <t>gemma</t>
  </si>
  <si>
    <t>deepseek-coder</t>
  </si>
  <si>
    <t>phi3</t>
  </si>
  <si>
    <t>No prompt</t>
  </si>
  <si>
    <t>deepseek-llm</t>
  </si>
  <si>
    <t>phi3:instruct</t>
  </si>
  <si>
    <t>Prueba BIOLOGIA 2020</t>
  </si>
  <si>
    <t>Prompt ES</t>
  </si>
  <si>
    <t>Prompt EN</t>
  </si>
  <si>
    <t>% de aciertos</t>
  </si>
  <si>
    <t>Prompt EN vs Prompt ES</t>
  </si>
  <si>
    <t>Prompt upgrade ES vs Prompt general ES</t>
  </si>
  <si>
    <t xml:space="preserve"> Prompt ES vs No Prompt</t>
  </si>
  <si>
    <t>Prompt upgrade EN vs Prompt general EN</t>
  </si>
  <si>
    <t xml:space="preserve"> Prompt EN No Prompt</t>
  </si>
  <si>
    <t>Ranking</t>
  </si>
  <si>
    <t>No Prompt</t>
  </si>
  <si>
    <t>Modelo</t>
  </si>
  <si>
    <t>% aciertos</t>
  </si>
  <si>
    <t>ANÁLISIS GLOBAL</t>
  </si>
  <si>
    <t>esperado</t>
  </si>
  <si>
    <t>obtenido</t>
  </si>
  <si>
    <t>tipo</t>
  </si>
  <si>
    <t>texto</t>
  </si>
  <si>
    <t>imagen</t>
  </si>
  <si>
    <t>TOTAL</t>
  </si>
  <si>
    <t xml:space="preserve"> </t>
  </si>
  <si>
    <t>nº TOTAL DE PREGUNTAS</t>
  </si>
  <si>
    <t>% sin respuestas</t>
  </si>
  <si>
    <t>MEJORA % de ACIERTOS</t>
  </si>
  <si>
    <t>Prompt - ES</t>
  </si>
  <si>
    <t>Prompt - 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</si>
</sst>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2" fontId="2" fillId="1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/>
    </xf>
    <xf numFmtId="164" fontId="2" fillId="1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1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7" borderId="7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17" borderId="10" xfId="0" applyFont="1" applyFill="1" applyBorder="1" applyAlignment="1">
      <alignment horizontal="center" vertical="center" wrapText="1"/>
    </xf>
    <xf numFmtId="0" fontId="1" fillId="17" borderId="0" xfId="0" applyFont="1" applyFill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2" fontId="2" fillId="20" borderId="1" xfId="0" applyNumberFormat="1" applyFont="1" applyFill="1" applyBorder="1" applyAlignment="1">
      <alignment horizontal="center" vertical="center" wrapText="1"/>
    </xf>
    <xf numFmtId="164" fontId="2" fillId="2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784859</xdr:colOff>
      <xdr:row>3</xdr:row>
      <xdr:rowOff>9525</xdr:rowOff>
    </xdr:from>
    <xdr:to>
      <xdr:col>10</xdr:col>
      <xdr:colOff>777240</xdr:colOff>
      <xdr:row>10</xdr:row>
      <xdr:rowOff>22859</xdr:rowOff>
    </xdr:to>
    <xdr:sp macro="" textlink="">
      <xdr:nvSpPr>
        <xdr:cNvPr id="10242" name="Text Box 2">
          <a:extLst>
            <a:ext uri="{FF2B5EF4-FFF2-40B4-BE49-F238E27FC236}">
              <a16:creationId xmlns:a16="http://schemas.microsoft.com/office/drawing/2014/main" id="{96326BA2-2D0C-E4F3-E2EB-58FA85207B08}"/>
            </a:ext>
          </a:extLst>
        </xdr:cNvPr>
        <xdr:cNvSpPr txBox="1">
          <a:spLocks noChangeArrowheads="1"/>
        </xdr:cNvSpPr>
      </xdr:nvSpPr>
      <xdr:spPr bwMode="auto">
        <a:xfrm>
          <a:off x="784859" y="552450"/>
          <a:ext cx="7898131" cy="12801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"Responde a la siguiente pregunta de opción múltiple seleccionando únicamente la opción correcta entre 1 y 4.\n"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"Tu respuesta debe seguir este formato: 'La respuesta correcta es la número X.' (siendo X un número del 1 al 4), 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"seguido de una breve explicación.\n"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"Si no estás completamente seguro de la respuesta, responde únicamente: 'No estoy seguro.'\n\n"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</a:p>
      </xdr:txBody>
    </xdr:sp>
    <xdr:clientData/>
  </xdr:twoCellAnchor>
  <xdr:twoCellAnchor>
    <xdr:from>
      <xdr:col>0</xdr:col>
      <xdr:colOff>777240</xdr:colOff>
      <xdr:row>13</xdr:row>
      <xdr:rowOff>173355</xdr:rowOff>
    </xdr:from>
    <xdr:to>
      <xdr:col>11</xdr:col>
      <xdr:colOff>9525</xdr:colOff>
      <xdr:row>21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358F76E-9999-751A-510A-856B9389E872}"/>
            </a:ext>
          </a:extLst>
        </xdr:cNvPr>
        <xdr:cNvSpPr/>
      </xdr:nvSpPr>
      <xdr:spPr>
        <a:xfrm>
          <a:off x="777240" y="2526030"/>
          <a:ext cx="7928610" cy="127444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"Answer the following multiple-choice question by selecting only the correct option between 1 and 4.\n"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"Your response must follow this format: 'The correct answer is number X.' (where X is a number from 1 to 4), 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"followed by a short explanation.\n"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"If you are not completely sure about the answer, respond only with: 'I'm not sure.'\n\n"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  <a:endParaRPr lang="es-E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0A82-DEF8-47B2-8238-5D1AB5D38673}">
  <sheetPr>
    <tabColor theme="5" tint="0.39997558519241921"/>
  </sheetPr>
  <dimension ref="B2:B13"/>
  <sheetViews>
    <sheetView workbookViewId="0">
      <selection activeCell="G32" sqref="G32"/>
    </sheetView>
  </sheetViews>
  <sheetFormatPr baseColWidth="10" defaultRowHeight="14.4" x14ac:dyDescent="0.3"/>
  <sheetData>
    <row r="2" spans="2:2" x14ac:dyDescent="0.3">
      <c r="B2" t="s">
        <v>37</v>
      </c>
    </row>
    <row r="13" spans="2:2" x14ac:dyDescent="0.3">
      <c r="B13" t="s">
        <v>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13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>
        <v>185</v>
      </c>
      <c r="E4" s="3">
        <v>107</v>
      </c>
      <c r="F4" s="3">
        <v>78</v>
      </c>
      <c r="G4" s="3">
        <v>0</v>
      </c>
      <c r="H4" s="18">
        <f>(E4/D4)*100</f>
        <v>57.837837837837839</v>
      </c>
      <c r="I4" s="22">
        <f>(G4/$D$29)*100</f>
        <v>0</v>
      </c>
      <c r="J4" s="4"/>
      <c r="K4" s="14" t="s">
        <v>5</v>
      </c>
      <c r="L4" s="7">
        <f>H5-H6</f>
        <v>7.567567567567572</v>
      </c>
      <c r="M4" s="8"/>
      <c r="N4" s="7">
        <f>H4-H5</f>
        <v>-4.8648648648648702</v>
      </c>
      <c r="O4" s="8"/>
      <c r="P4" s="7">
        <f>H4-H6</f>
        <v>2.7027027027027017</v>
      </c>
    </row>
    <row r="5" spans="2:16" x14ac:dyDescent="0.3">
      <c r="B5" s="26"/>
      <c r="C5" s="3" t="s">
        <v>14</v>
      </c>
      <c r="D5" s="3">
        <v>185</v>
      </c>
      <c r="E5" s="3">
        <v>116</v>
      </c>
      <c r="F5" s="3">
        <v>69</v>
      </c>
      <c r="G5" s="3">
        <v>0</v>
      </c>
      <c r="H5" s="18">
        <f t="shared" ref="H5:H23" si="0">(E5/D5)*100</f>
        <v>62.702702702702709</v>
      </c>
      <c r="I5" s="22">
        <f>(G5/$D$29)*100</f>
        <v>0</v>
      </c>
      <c r="J5" s="4"/>
      <c r="K5" s="14" t="s">
        <v>6</v>
      </c>
      <c r="L5" s="7">
        <f>H8-H9</f>
        <v>17.157004332576854</v>
      </c>
      <c r="M5" s="8"/>
      <c r="N5" s="7">
        <f>H7-H8</f>
        <v>-0.54054054054054035</v>
      </c>
      <c r="O5" s="8"/>
      <c r="P5" s="7">
        <f>H7-H9</f>
        <v>16.616463792036313</v>
      </c>
    </row>
    <row r="6" spans="2:16" x14ac:dyDescent="0.3">
      <c r="B6" s="26"/>
      <c r="C6" s="3" t="s">
        <v>10</v>
      </c>
      <c r="D6" s="3">
        <v>185</v>
      </c>
      <c r="E6" s="3">
        <v>102</v>
      </c>
      <c r="F6" s="3">
        <v>83</v>
      </c>
      <c r="G6" s="3">
        <v>0</v>
      </c>
      <c r="H6" s="18">
        <f t="shared" si="0"/>
        <v>55.135135135135137</v>
      </c>
      <c r="I6" s="22">
        <f>(G6/$D$29)*100</f>
        <v>0</v>
      </c>
      <c r="J6" s="4"/>
      <c r="K6" s="14" t="s">
        <v>7</v>
      </c>
      <c r="L6" s="7">
        <f>H11-H12</f>
        <v>4.0188014101057661</v>
      </c>
      <c r="M6" s="8"/>
      <c r="N6" s="7">
        <f>H10-H11</f>
        <v>-0.43125092305420765</v>
      </c>
      <c r="O6" s="8"/>
      <c r="P6" s="7">
        <f>H10-H12</f>
        <v>3.5875504870515584</v>
      </c>
    </row>
    <row r="7" spans="2:16" x14ac:dyDescent="0.3">
      <c r="B7" s="26" t="s">
        <v>6</v>
      </c>
      <c r="C7" s="1" t="s">
        <v>15</v>
      </c>
      <c r="D7" s="1">
        <v>185</v>
      </c>
      <c r="E7" s="1">
        <v>107</v>
      </c>
      <c r="F7" s="1">
        <v>78</v>
      </c>
      <c r="G7" s="1">
        <v>0</v>
      </c>
      <c r="H7" s="19">
        <f t="shared" si="0"/>
        <v>57.837837837837839</v>
      </c>
      <c r="I7" s="23">
        <f>(G7/$D$29)*100</f>
        <v>0</v>
      </c>
      <c r="J7" s="4"/>
      <c r="K7" s="14" t="s">
        <v>8</v>
      </c>
      <c r="L7" s="7">
        <f>H14-H15</f>
        <v>6.7307692307692299</v>
      </c>
      <c r="M7" s="8"/>
      <c r="N7" s="7">
        <f>H13-H14</f>
        <v>-17.5</v>
      </c>
      <c r="O7" s="8"/>
      <c r="P7" s="7">
        <f>H13-H15</f>
        <v>-10.76923076923077</v>
      </c>
    </row>
    <row r="8" spans="2:16" x14ac:dyDescent="0.3">
      <c r="B8" s="26"/>
      <c r="C8" s="1" t="s">
        <v>14</v>
      </c>
      <c r="D8" s="1">
        <v>185</v>
      </c>
      <c r="E8" s="1">
        <v>108</v>
      </c>
      <c r="F8" s="1">
        <v>77</v>
      </c>
      <c r="G8" s="1">
        <v>0</v>
      </c>
      <c r="H8" s="19">
        <f t="shared" si="0"/>
        <v>58.378378378378379</v>
      </c>
      <c r="I8" s="23">
        <f>(G8/$D$29)*100</f>
        <v>0</v>
      </c>
      <c r="J8" s="4"/>
      <c r="K8" s="14" t="s">
        <v>11</v>
      </c>
      <c r="L8" s="9"/>
      <c r="M8" s="7">
        <f>H17-H14</f>
        <v>6.5</v>
      </c>
      <c r="N8" s="7">
        <f>H16-H17</f>
        <v>-7.7362637362637372</v>
      </c>
      <c r="O8" s="7">
        <f>H16-H13</f>
        <v>16.263736263736263</v>
      </c>
      <c r="P8" s="7">
        <f>H16-H15</f>
        <v>5.4945054945054927</v>
      </c>
    </row>
    <row r="9" spans="2:16" x14ac:dyDescent="0.3">
      <c r="B9" s="26"/>
      <c r="C9" s="1" t="s">
        <v>10</v>
      </c>
      <c r="D9" s="1">
        <v>131</v>
      </c>
      <c r="E9" s="1">
        <v>54</v>
      </c>
      <c r="F9" s="1">
        <v>77</v>
      </c>
      <c r="G9" s="1">
        <v>54</v>
      </c>
      <c r="H9" s="19">
        <f t="shared" si="0"/>
        <v>41.221374045801525</v>
      </c>
      <c r="I9" s="23">
        <f>(G9/$D$29)*100</f>
        <v>29.189189189189189</v>
      </c>
      <c r="J9" s="4"/>
      <c r="K9" s="14" t="s">
        <v>9</v>
      </c>
      <c r="L9" s="7">
        <f>H20-H21</f>
        <v>12.068965517241381</v>
      </c>
      <c r="M9" s="8"/>
      <c r="N9" s="7">
        <f>H19-H20</f>
        <v>8.9189189189189193</v>
      </c>
      <c r="O9" s="8"/>
      <c r="P9" s="7">
        <f>H19-H21</f>
        <v>20.9878844361603</v>
      </c>
    </row>
    <row r="10" spans="2:16" x14ac:dyDescent="0.3">
      <c r="B10" s="26" t="s">
        <v>7</v>
      </c>
      <c r="C10" s="3" t="s">
        <v>15</v>
      </c>
      <c r="D10" s="3">
        <v>183</v>
      </c>
      <c r="E10" s="3">
        <v>110</v>
      </c>
      <c r="F10" s="3">
        <v>73</v>
      </c>
      <c r="G10" s="3">
        <v>2</v>
      </c>
      <c r="H10" s="18">
        <f t="shared" si="0"/>
        <v>60.10928961748634</v>
      </c>
      <c r="I10" s="22">
        <f>(G10/$D$29)*100</f>
        <v>1.0810810810810811</v>
      </c>
      <c r="J10" s="4"/>
      <c r="K10" s="14" t="s">
        <v>12</v>
      </c>
      <c r="L10" s="9"/>
      <c r="M10" s="7">
        <f>H23-H20</f>
        <v>-16.990291262135919</v>
      </c>
      <c r="N10" s="7">
        <f>H22-H23</f>
        <v>30.774075045919709</v>
      </c>
      <c r="O10" s="7">
        <f>H22-H20</f>
        <v>13.78378378378379</v>
      </c>
      <c r="P10" s="7">
        <f>H22-H21</f>
        <v>25.85274930102517</v>
      </c>
    </row>
    <row r="11" spans="2:16" x14ac:dyDescent="0.3">
      <c r="B11" s="26"/>
      <c r="C11" s="3" t="s">
        <v>14</v>
      </c>
      <c r="D11" s="3">
        <v>185</v>
      </c>
      <c r="E11" s="3">
        <v>112</v>
      </c>
      <c r="F11" s="3">
        <v>73</v>
      </c>
      <c r="G11" s="3">
        <v>0</v>
      </c>
      <c r="H11" s="18">
        <f t="shared" si="0"/>
        <v>60.540540540540547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184</v>
      </c>
      <c r="E12" s="3">
        <v>104</v>
      </c>
      <c r="F12" s="3">
        <v>80</v>
      </c>
      <c r="G12" s="3">
        <v>1</v>
      </c>
      <c r="H12" s="18">
        <f t="shared" si="0"/>
        <v>56.521739130434781</v>
      </c>
      <c r="I12" s="22">
        <f>(G12/$D$29)*100</f>
        <v>0.54054054054054057</v>
      </c>
      <c r="J12" s="4"/>
    </row>
    <row r="13" spans="2:16" x14ac:dyDescent="0.3">
      <c r="B13" s="26" t="s">
        <v>8</v>
      </c>
      <c r="C13" s="1" t="s">
        <v>15</v>
      </c>
      <c r="D13" s="1">
        <v>25</v>
      </c>
      <c r="E13" s="1">
        <v>5</v>
      </c>
      <c r="F13" s="1">
        <v>20</v>
      </c>
      <c r="G13" s="1">
        <v>160</v>
      </c>
      <c r="H13" s="19">
        <f t="shared" si="0"/>
        <v>20</v>
      </c>
      <c r="I13" s="23">
        <f>(G13/$D$29)*100</f>
        <v>86.486486486486484</v>
      </c>
      <c r="J13" s="4"/>
    </row>
    <row r="14" spans="2:16" x14ac:dyDescent="0.3">
      <c r="B14" s="26"/>
      <c r="C14" s="1" t="s">
        <v>14</v>
      </c>
      <c r="D14" s="1">
        <v>16</v>
      </c>
      <c r="E14" s="1">
        <v>6</v>
      </c>
      <c r="F14" s="1">
        <v>10</v>
      </c>
      <c r="G14" s="1">
        <v>169</v>
      </c>
      <c r="H14" s="19">
        <f t="shared" si="0"/>
        <v>37.5</v>
      </c>
      <c r="I14" s="23">
        <f>(G14/$D$29)*100</f>
        <v>91.351351351351354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13</v>
      </c>
      <c r="E15" s="1">
        <v>4</v>
      </c>
      <c r="F15" s="1">
        <v>9</v>
      </c>
      <c r="G15" s="1">
        <v>172</v>
      </c>
      <c r="H15" s="19">
        <f t="shared" si="0"/>
        <v>30.76923076923077</v>
      </c>
      <c r="I15" s="23">
        <f>(G15/$D$29)*100</f>
        <v>92.972972972972983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>
        <v>182</v>
      </c>
      <c r="E16" s="3">
        <v>66</v>
      </c>
      <c r="F16" s="3">
        <v>116</v>
      </c>
      <c r="G16" s="3">
        <v>3</v>
      </c>
      <c r="H16" s="18">
        <f t="shared" si="0"/>
        <v>36.263736263736263</v>
      </c>
      <c r="I16" s="22">
        <f>(G16/$D$29)*100</f>
        <v>1.6216216216216217</v>
      </c>
      <c r="J16" s="4"/>
      <c r="K16" s="21" t="s">
        <v>4</v>
      </c>
      <c r="L16" s="10" t="s">
        <v>25</v>
      </c>
      <c r="M16" s="21" t="s">
        <v>4</v>
      </c>
      <c r="N16" s="10" t="s">
        <v>25</v>
      </c>
      <c r="O16" s="21" t="s">
        <v>4</v>
      </c>
      <c r="P16" s="10" t="s">
        <v>25</v>
      </c>
    </row>
    <row r="17" spans="2:16" x14ac:dyDescent="0.3">
      <c r="B17" s="37"/>
      <c r="C17" s="3" t="s">
        <v>14</v>
      </c>
      <c r="D17" s="3">
        <v>100</v>
      </c>
      <c r="E17" s="3">
        <v>44</v>
      </c>
      <c r="F17" s="3">
        <v>56</v>
      </c>
      <c r="G17" s="3">
        <v>85</v>
      </c>
      <c r="H17" s="18">
        <f t="shared" si="0"/>
        <v>44</v>
      </c>
      <c r="I17" s="22">
        <f>(G17/$D$29)*100</f>
        <v>45.945945945945951</v>
      </c>
      <c r="J17" s="4"/>
      <c r="K17" s="1" t="s">
        <v>5</v>
      </c>
      <c r="L17" s="11">
        <v>55.135135135135137</v>
      </c>
      <c r="M17" s="1" t="s">
        <v>5</v>
      </c>
      <c r="N17" s="11">
        <v>62.702702702702709</v>
      </c>
      <c r="O17" s="1" t="s">
        <v>12</v>
      </c>
      <c r="P17" s="11">
        <v>63.78378378378379</v>
      </c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7</v>
      </c>
      <c r="L18" s="11">
        <v>56.521739130434781</v>
      </c>
      <c r="M18" s="1" t="s">
        <v>7</v>
      </c>
      <c r="N18" s="11">
        <v>60.540540540540547</v>
      </c>
      <c r="O18" s="1" t="s">
        <v>6</v>
      </c>
      <c r="P18" s="11">
        <v>60.10928961748634</v>
      </c>
    </row>
    <row r="19" spans="2:16" x14ac:dyDescent="0.3">
      <c r="B19" s="26" t="s">
        <v>9</v>
      </c>
      <c r="C19" s="1" t="s">
        <v>15</v>
      </c>
      <c r="D19" s="1">
        <v>185</v>
      </c>
      <c r="E19" s="1">
        <v>109</v>
      </c>
      <c r="F19" s="1">
        <v>76</v>
      </c>
      <c r="G19" s="1">
        <v>0</v>
      </c>
      <c r="H19" s="19">
        <f t="shared" si="0"/>
        <v>58.918918918918919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>
        <v>112</v>
      </c>
      <c r="E20" s="1">
        <v>56</v>
      </c>
      <c r="F20" s="1">
        <v>56</v>
      </c>
      <c r="G20" s="1">
        <v>73</v>
      </c>
      <c r="H20" s="19">
        <f t="shared" si="0"/>
        <v>50</v>
      </c>
      <c r="I20" s="23">
        <f>(G20/$D$29)*100</f>
        <v>39.45945945945946</v>
      </c>
      <c r="J20" s="4"/>
      <c r="K20" s="1" t="s">
        <v>6</v>
      </c>
      <c r="L20" s="11">
        <v>41.221374045801525</v>
      </c>
      <c r="M20" s="1" t="s">
        <v>6</v>
      </c>
      <c r="N20" s="11">
        <v>58.378378378378379</v>
      </c>
      <c r="O20" s="1" t="s">
        <v>8</v>
      </c>
      <c r="P20" s="11">
        <v>58.918918918918919</v>
      </c>
    </row>
    <row r="21" spans="2:16" x14ac:dyDescent="0.3">
      <c r="B21" s="26"/>
      <c r="C21" s="1" t="s">
        <v>10</v>
      </c>
      <c r="D21" s="1">
        <v>87</v>
      </c>
      <c r="E21" s="1">
        <v>33</v>
      </c>
      <c r="F21" s="1">
        <v>54</v>
      </c>
      <c r="G21" s="1">
        <v>98</v>
      </c>
      <c r="H21" s="19">
        <f t="shared" si="0"/>
        <v>37.931034482758619</v>
      </c>
      <c r="I21" s="23">
        <f>(G21/$D$29)*100</f>
        <v>52.972972972972975</v>
      </c>
      <c r="J21" s="4"/>
      <c r="K21" s="1" t="s">
        <v>9</v>
      </c>
      <c r="L21" s="11">
        <v>37.931034482758619</v>
      </c>
      <c r="M21" s="1" t="s">
        <v>9</v>
      </c>
      <c r="N21" s="11">
        <v>50</v>
      </c>
      <c r="O21" s="1" t="s">
        <v>5</v>
      </c>
      <c r="P21" s="11">
        <v>57.837837837837839</v>
      </c>
    </row>
    <row r="22" spans="2:16" x14ac:dyDescent="0.3">
      <c r="B22" s="39" t="s">
        <v>12</v>
      </c>
      <c r="C22" s="3" t="s">
        <v>15</v>
      </c>
      <c r="D22" s="3">
        <v>185</v>
      </c>
      <c r="E22" s="3">
        <v>118</v>
      </c>
      <c r="F22" s="3">
        <v>67</v>
      </c>
      <c r="G22" s="3">
        <v>0</v>
      </c>
      <c r="H22" s="18">
        <f t="shared" si="0"/>
        <v>63.78378378378379</v>
      </c>
      <c r="I22" s="22">
        <f>(G22/$D$29)*100</f>
        <v>0</v>
      </c>
      <c r="J22" s="4"/>
      <c r="K22" s="1" t="s">
        <v>8</v>
      </c>
      <c r="L22" s="11">
        <v>30.76923076923077</v>
      </c>
      <c r="M22" s="1" t="s">
        <v>11</v>
      </c>
      <c r="N22" s="11">
        <v>44</v>
      </c>
      <c r="O22" s="1" t="s">
        <v>7</v>
      </c>
      <c r="P22" s="11">
        <v>57.837837837837839</v>
      </c>
    </row>
    <row r="23" spans="2:16" x14ac:dyDescent="0.3">
      <c r="B23" s="40"/>
      <c r="C23" s="3" t="s">
        <v>14</v>
      </c>
      <c r="D23" s="5">
        <v>103</v>
      </c>
      <c r="E23" s="5">
        <v>34</v>
      </c>
      <c r="F23" s="5">
        <v>69</v>
      </c>
      <c r="G23" s="5">
        <v>32</v>
      </c>
      <c r="H23" s="18">
        <f t="shared" si="0"/>
        <v>33.009708737864081</v>
      </c>
      <c r="I23" s="22">
        <f>(G23/$D$29)*100</f>
        <v>17.297297297297298</v>
      </c>
      <c r="J23" s="4"/>
      <c r="M23" s="1" t="s">
        <v>8</v>
      </c>
      <c r="N23" s="11">
        <v>37.5</v>
      </c>
      <c r="O23" s="1" t="s">
        <v>11</v>
      </c>
      <c r="P23" s="11">
        <v>36.263736263736263</v>
      </c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>
        <v>33.009708737864081</v>
      </c>
      <c r="O24" s="1" t="s">
        <v>9</v>
      </c>
      <c r="P24" s="11">
        <v>20</v>
      </c>
    </row>
    <row r="25" spans="2:16" x14ac:dyDescent="0.3">
      <c r="J25" s="4"/>
    </row>
    <row r="27" spans="2:16" x14ac:dyDescent="0.3">
      <c r="B27" s="27" t="s">
        <v>34</v>
      </c>
      <c r="C27" s="27"/>
      <c r="D27" s="27"/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185</v>
      </c>
      <c r="D29" s="12">
        <v>185</v>
      </c>
    </row>
    <row r="30" spans="2:16" x14ac:dyDescent="0.3">
      <c r="B30" s="15" t="s">
        <v>31</v>
      </c>
      <c r="C30" s="12">
        <v>0</v>
      </c>
      <c r="D30" s="12">
        <v>0</v>
      </c>
    </row>
    <row r="31" spans="2:16" x14ac:dyDescent="0.3">
      <c r="B31" s="15" t="s">
        <v>32</v>
      </c>
      <c r="C31" s="12">
        <f>SUM(C29:C30)</f>
        <v>185</v>
      </c>
      <c r="D31" s="12">
        <f t="shared" ref="D31" si="1">SUM(D29:D30)</f>
        <v>185</v>
      </c>
    </row>
  </sheetData>
  <mergeCells count="15">
    <mergeCell ref="B27:D27"/>
    <mergeCell ref="B2:I2"/>
    <mergeCell ref="K2:P2"/>
    <mergeCell ref="B4:B6"/>
    <mergeCell ref="B7:B9"/>
    <mergeCell ref="B3:C3"/>
    <mergeCell ref="K14:P14"/>
    <mergeCell ref="B10:B12"/>
    <mergeCell ref="B13:B15"/>
    <mergeCell ref="B16:B18"/>
    <mergeCell ref="B22:B24"/>
    <mergeCell ref="K15:L15"/>
    <mergeCell ref="M15:N15"/>
    <mergeCell ref="O15:P15"/>
    <mergeCell ref="B19:B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946C-E96F-4BDB-8667-07C2AF88758F}">
  <sheetPr>
    <tabColor theme="7"/>
  </sheetPr>
  <dimension ref="B2:P31"/>
  <sheetViews>
    <sheetView tabSelected="1" topLeftCell="A2" workbookViewId="0">
      <selection activeCell="G22" sqref="G22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6909</v>
      </c>
      <c r="E6" s="3">
        <v>3159</v>
      </c>
      <c r="F6" s="3">
        <v>3750</v>
      </c>
      <c r="G6" s="3">
        <v>68</v>
      </c>
      <c r="H6" s="18">
        <f t="shared" si="0"/>
        <v>45.722970039079463</v>
      </c>
      <c r="I6" s="22">
        <f>(G6/$D$29)*100</f>
        <v>0.97463093019922609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5345</v>
      </c>
      <c r="E9" s="1">
        <v>1910</v>
      </c>
      <c r="F9" s="1">
        <v>3435</v>
      </c>
      <c r="G9" s="1">
        <v>1632</v>
      </c>
      <c r="H9" s="19">
        <f t="shared" si="0"/>
        <v>35.734331150608043</v>
      </c>
      <c r="I9" s="23">
        <f>(G9/$D$29)*100</f>
        <v>23.391142324781423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6763</v>
      </c>
      <c r="E12" s="3">
        <v>2923</v>
      </c>
      <c r="F12" s="3">
        <v>3840</v>
      </c>
      <c r="G12" s="3">
        <v>214</v>
      </c>
      <c r="H12" s="18">
        <f t="shared" si="0"/>
        <v>43.220464290995118</v>
      </c>
      <c r="I12" s="22">
        <f>(G12/$D$29)*100</f>
        <v>3.0672208685681523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1170</v>
      </c>
      <c r="E15" s="1">
        <v>295</v>
      </c>
      <c r="F15" s="1">
        <v>875</v>
      </c>
      <c r="G15" s="1">
        <v>5007</v>
      </c>
      <c r="H15" s="19">
        <f t="shared" si="0"/>
        <v>25.213675213675213</v>
      </c>
      <c r="I15" s="23">
        <f>(G15/$D$29)*100</f>
        <v>71.764368639816539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1691</v>
      </c>
      <c r="E21" s="1">
        <v>488</v>
      </c>
      <c r="F21" s="1">
        <v>1203</v>
      </c>
      <c r="G21" s="1">
        <v>5286</v>
      </c>
      <c r="H21" s="19">
        <f t="shared" si="0"/>
        <v>28.858663512714372</v>
      </c>
      <c r="I21" s="23">
        <f>(G21/$D$29)*100</f>
        <v>75.763222015192781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6977</v>
      </c>
      <c r="D29" s="12">
        <v>6977</v>
      </c>
      <c r="E29">
        <v>2.5399999999999999E-2</v>
      </c>
    </row>
    <row r="30" spans="2:16" x14ac:dyDescent="0.3">
      <c r="B30" s="15" t="s">
        <v>31</v>
      </c>
      <c r="C30" s="12">
        <v>182</v>
      </c>
      <c r="D30" s="12"/>
      <c r="E30">
        <v>0.97460000000000002</v>
      </c>
    </row>
    <row r="31" spans="2:16" x14ac:dyDescent="0.3">
      <c r="B31" s="15" t="s">
        <v>32</v>
      </c>
      <c r="C31" s="12">
        <f>SUM(C29:C30)</f>
        <v>7159</v>
      </c>
      <c r="D31" s="12">
        <f t="shared" ref="D31" si="1">SUM(D29:D30)</f>
        <v>6977</v>
      </c>
    </row>
  </sheetData>
  <mergeCells count="15">
    <mergeCell ref="B10:B12"/>
    <mergeCell ref="K2:P2"/>
    <mergeCell ref="B3:C3"/>
    <mergeCell ref="B4:B6"/>
    <mergeCell ref="B7:B9"/>
    <mergeCell ref="B2:I2"/>
    <mergeCell ref="B27:D27"/>
    <mergeCell ref="B19:B21"/>
    <mergeCell ref="B13:B15"/>
    <mergeCell ref="K14:P14"/>
    <mergeCell ref="O15:P15"/>
    <mergeCell ref="M15:N15"/>
    <mergeCell ref="K15:L15"/>
    <mergeCell ref="B16:B18"/>
    <mergeCell ref="B22:B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A53-6D46-484A-866A-B9870A79B8A2}">
  <sheetPr>
    <tabColor theme="8" tint="0.59999389629810485"/>
  </sheetPr>
  <dimension ref="B2:P31"/>
  <sheetViews>
    <sheetView workbookViewId="0">
      <selection activeCell="K30" sqref="K30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896</v>
      </c>
      <c r="E6" s="3">
        <v>426</v>
      </c>
      <c r="F6" s="3">
        <v>470</v>
      </c>
      <c r="G6" s="3">
        <v>4</v>
      </c>
      <c r="H6" s="18">
        <f t="shared" si="0"/>
        <v>47.544642857142854</v>
      </c>
      <c r="I6" s="22">
        <f>(G6/$D$29)*100</f>
        <v>0.44444444444444442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653</v>
      </c>
      <c r="E9" s="1">
        <v>229</v>
      </c>
      <c r="F9" s="1">
        <v>424</v>
      </c>
      <c r="G9" s="1">
        <v>247</v>
      </c>
      <c r="H9" s="19">
        <f t="shared" si="0"/>
        <v>35.068912710566615</v>
      </c>
      <c r="I9" s="23">
        <f>(G9/$D$29)*100</f>
        <v>27.444444444444443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880</v>
      </c>
      <c r="E12" s="3">
        <v>357</v>
      </c>
      <c r="F12" s="3">
        <v>523</v>
      </c>
      <c r="G12" s="3">
        <v>20</v>
      </c>
      <c r="H12" s="18">
        <f t="shared" si="0"/>
        <v>40.56818181818182</v>
      </c>
      <c r="I12" s="22">
        <f>(G12/$D$29)*100</f>
        <v>2.2222222222222223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27</v>
      </c>
      <c r="E15" s="1">
        <v>7</v>
      </c>
      <c r="F15" s="1">
        <v>20</v>
      </c>
      <c r="G15" s="1">
        <v>873</v>
      </c>
      <c r="H15" s="19">
        <f t="shared" si="0"/>
        <v>25.925925925925924</v>
      </c>
      <c r="I15" s="23">
        <f>(G15/$D$29)*100</f>
        <v>97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185</v>
      </c>
      <c r="E21" s="1">
        <v>58</v>
      </c>
      <c r="F21" s="1">
        <v>127</v>
      </c>
      <c r="G21" s="1">
        <v>715</v>
      </c>
      <c r="H21" s="19">
        <f t="shared" si="0"/>
        <v>31.351351351351354</v>
      </c>
      <c r="I21" s="23">
        <f>(G21/$D$29)*100</f>
        <v>79.444444444444443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900</v>
      </c>
      <c r="D29" s="12">
        <v>900</v>
      </c>
    </row>
    <row r="30" spans="2:16" x14ac:dyDescent="0.3">
      <c r="B30" s="15" t="s">
        <v>31</v>
      </c>
      <c r="C30" s="12">
        <v>125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1">SUM(D29:D30)</f>
        <v>900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C8A8-3FBA-4BC8-83C1-A9037C6A82D5}">
  <sheetPr>
    <tabColor theme="8" tint="0.59999389629810485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945</v>
      </c>
      <c r="E6" s="3">
        <v>427</v>
      </c>
      <c r="F6" s="3">
        <v>518</v>
      </c>
      <c r="G6" s="3">
        <v>22</v>
      </c>
      <c r="H6" s="18">
        <f t="shared" si="0"/>
        <v>45.185185185185183</v>
      </c>
      <c r="I6" s="22">
        <f>(G6/$D$29)*100</f>
        <v>2.2750775594622543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701</v>
      </c>
      <c r="E9" s="1">
        <v>255</v>
      </c>
      <c r="F9" s="1">
        <v>446</v>
      </c>
      <c r="G9" s="1">
        <v>266</v>
      </c>
      <c r="H9" s="19">
        <f t="shared" si="0"/>
        <v>36.37660485021398</v>
      </c>
      <c r="I9" s="23">
        <f>(G9/$D$29)*100</f>
        <v>27.507755946225437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911</v>
      </c>
      <c r="E12" s="3">
        <v>378</v>
      </c>
      <c r="F12" s="3">
        <v>533</v>
      </c>
      <c r="G12" s="3">
        <v>56</v>
      </c>
      <c r="H12" s="18">
        <f t="shared" si="0"/>
        <v>41.492864983534581</v>
      </c>
      <c r="I12" s="22">
        <f>(G12/$D$29)*100</f>
        <v>5.7911065149948291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82</v>
      </c>
      <c r="E15" s="1">
        <v>25</v>
      </c>
      <c r="F15" s="1">
        <v>57</v>
      </c>
      <c r="G15" s="1">
        <v>885</v>
      </c>
      <c r="H15" s="19">
        <f t="shared" si="0"/>
        <v>30.487804878048781</v>
      </c>
      <c r="I15" s="23">
        <f>(G15/$D$29)*100</f>
        <v>91.520165460186149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295</v>
      </c>
      <c r="E21" s="1">
        <v>103</v>
      </c>
      <c r="F21" s="1">
        <v>192</v>
      </c>
      <c r="G21" s="1">
        <v>672</v>
      </c>
      <c r="H21" s="19">
        <f t="shared" si="0"/>
        <v>34.915254237288131</v>
      </c>
      <c r="I21" s="23">
        <f>(G21/$D$29)*100</f>
        <v>69.49327817993796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967</v>
      </c>
      <c r="D29" s="12">
        <v>967</v>
      </c>
    </row>
    <row r="30" spans="2:16" x14ac:dyDescent="0.3">
      <c r="B30" s="15" t="s">
        <v>31</v>
      </c>
      <c r="C30" s="12">
        <v>57</v>
      </c>
      <c r="D30" s="12"/>
    </row>
    <row r="31" spans="2:16" x14ac:dyDescent="0.3">
      <c r="B31" s="15" t="s">
        <v>32</v>
      </c>
      <c r="C31" s="12">
        <f>SUM(C29:C30)</f>
        <v>1024</v>
      </c>
      <c r="D31" s="12">
        <f t="shared" ref="D31" si="1">SUM(D29:D30)</f>
        <v>967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A224-CE76-411E-A40B-C8F05224CC97}">
  <sheetPr>
    <tabColor theme="8" tint="0.59999389629810485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1019</v>
      </c>
      <c r="E6" s="3">
        <v>602</v>
      </c>
      <c r="F6" s="3">
        <v>417</v>
      </c>
      <c r="G6" s="3">
        <v>6</v>
      </c>
      <c r="H6" s="18">
        <f t="shared" si="0"/>
        <v>59.077526987242393</v>
      </c>
      <c r="I6" s="22">
        <f>(G6/$D$29)*100</f>
        <v>0.58536585365853655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751</v>
      </c>
      <c r="E9" s="1">
        <v>339</v>
      </c>
      <c r="F9" s="1">
        <v>412</v>
      </c>
      <c r="G9" s="1">
        <v>274</v>
      </c>
      <c r="H9" s="19">
        <f t="shared" si="0"/>
        <v>45.139813581890813</v>
      </c>
      <c r="I9" s="23">
        <f>(G9/$D$29)*100</f>
        <v>26.731707317073173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1017</v>
      </c>
      <c r="E12" s="3">
        <v>568</v>
      </c>
      <c r="F12" s="3">
        <v>449</v>
      </c>
      <c r="G12" s="3">
        <v>8</v>
      </c>
      <c r="H12" s="18">
        <f t="shared" si="0"/>
        <v>55.850540806293012</v>
      </c>
      <c r="I12" s="22">
        <f>(G12/$D$29)*100</f>
        <v>0.78048780487804881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75</v>
      </c>
      <c r="E15" s="1">
        <v>17</v>
      </c>
      <c r="F15" s="1">
        <v>58</v>
      </c>
      <c r="G15" s="1">
        <v>950</v>
      </c>
      <c r="H15" s="19">
        <f t="shared" si="0"/>
        <v>22.666666666666664</v>
      </c>
      <c r="I15" s="23">
        <f>(G15/$D$29)*100</f>
        <v>92.682926829268297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235</v>
      </c>
      <c r="E21" s="1">
        <v>70</v>
      </c>
      <c r="F21" s="1">
        <v>165</v>
      </c>
      <c r="G21" s="1">
        <v>790</v>
      </c>
      <c r="H21" s="19">
        <f t="shared" si="0"/>
        <v>29.787234042553191</v>
      </c>
      <c r="I21" s="23">
        <f>(G21/$D$29)*100</f>
        <v>77.073170731707322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1">SUM(D29:D30)</f>
        <v>1025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40034-3282-4041-B3E7-C79A4E84CEA2}">
  <sheetPr>
    <tabColor theme="8" tint="0.59999389629810485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1016</v>
      </c>
      <c r="E6" s="3">
        <v>508</v>
      </c>
      <c r="F6" s="3">
        <v>508</v>
      </c>
      <c r="G6" s="3">
        <v>9</v>
      </c>
      <c r="H6" s="18">
        <f t="shared" si="0"/>
        <v>50</v>
      </c>
      <c r="I6" s="22">
        <f>(G6/$D$29)*100</f>
        <v>0.87804878048780499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770</v>
      </c>
      <c r="E9" s="1">
        <v>291</v>
      </c>
      <c r="F9" s="1">
        <v>479</v>
      </c>
      <c r="G9" s="1">
        <v>255</v>
      </c>
      <c r="H9" s="19">
        <f t="shared" si="0"/>
        <v>37.79220779220779</v>
      </c>
      <c r="I9" s="23">
        <f>(G9/$D$29)*100</f>
        <v>24.878048780487806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1008</v>
      </c>
      <c r="E12" s="3">
        <v>458</v>
      </c>
      <c r="F12" s="3">
        <v>550</v>
      </c>
      <c r="G12" s="3">
        <v>17</v>
      </c>
      <c r="H12" s="18">
        <f t="shared" si="0"/>
        <v>45.436507936507937</v>
      </c>
      <c r="I12" s="22">
        <f>(G12/$D$29)*100</f>
        <v>1.6585365853658538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115</v>
      </c>
      <c r="E15" s="1">
        <v>34</v>
      </c>
      <c r="F15" s="1">
        <v>81</v>
      </c>
      <c r="G15" s="1">
        <v>910</v>
      </c>
      <c r="H15" s="19">
        <f t="shared" si="0"/>
        <v>29.565217391304348</v>
      </c>
      <c r="I15" s="23">
        <f>(G15/$D$29)*100</f>
        <v>88.780487804878049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254</v>
      </c>
      <c r="E21" s="1">
        <v>80</v>
      </c>
      <c r="F21" s="1">
        <v>174</v>
      </c>
      <c r="G21" s="1">
        <v>771</v>
      </c>
      <c r="H21" s="19">
        <f t="shared" si="0"/>
        <v>31.496062992125985</v>
      </c>
      <c r="I21" s="23">
        <f>(G21/$D$29)*100</f>
        <v>75.219512195121951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1">SUM(D29:D30)</f>
        <v>1025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5936-F454-477A-A69F-0158758565C9}">
  <sheetPr>
    <tabColor theme="8" tint="0.59999389629810485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1012</v>
      </c>
      <c r="E6" s="3">
        <v>443</v>
      </c>
      <c r="F6" s="3">
        <v>569</v>
      </c>
      <c r="G6" s="3">
        <v>13</v>
      </c>
      <c r="H6" s="18">
        <f t="shared" si="0"/>
        <v>43.774703557312257</v>
      </c>
      <c r="I6" s="22">
        <f>(G6/$D$29)*100</f>
        <v>1.2682926829268293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688</v>
      </c>
      <c r="E9" s="1">
        <v>228</v>
      </c>
      <c r="F9" s="1">
        <v>460</v>
      </c>
      <c r="G9" s="1">
        <v>337</v>
      </c>
      <c r="H9" s="19">
        <f t="shared" si="0"/>
        <v>33.139534883720927</v>
      </c>
      <c r="I9" s="23">
        <f>(G9/$D$29)*100</f>
        <v>32.878048780487809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968</v>
      </c>
      <c r="E12" s="3">
        <v>400</v>
      </c>
      <c r="F12" s="3">
        <v>568</v>
      </c>
      <c r="G12" s="3">
        <v>57</v>
      </c>
      <c r="H12" s="18">
        <f t="shared" si="0"/>
        <v>41.32231404958678</v>
      </c>
      <c r="I12" s="22">
        <f>(G12/$D$29)*100</f>
        <v>5.5609756097560981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128</v>
      </c>
      <c r="E15" s="1">
        <v>33</v>
      </c>
      <c r="F15" s="1">
        <v>95</v>
      </c>
      <c r="G15" s="1">
        <v>897</v>
      </c>
      <c r="H15" s="19">
        <f t="shared" si="0"/>
        <v>25.78125</v>
      </c>
      <c r="I15" s="23">
        <f>(G15/$D$29)*100</f>
        <v>87.512195121951223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219</v>
      </c>
      <c r="E21" s="1">
        <v>55</v>
      </c>
      <c r="F21" s="1">
        <v>164</v>
      </c>
      <c r="G21" s="1">
        <v>806</v>
      </c>
      <c r="H21" s="19">
        <f t="shared" si="0"/>
        <v>25.11415525114155</v>
      </c>
      <c r="I21" s="23">
        <f>(G21/$D$29)*100</f>
        <v>78.634146341463421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1">SUM(D29:D30)</f>
        <v>1025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2F29-19C2-43B2-9246-72AC7E4A6649}">
  <sheetPr>
    <tabColor theme="8" tint="0.59999389629810485"/>
  </sheetPr>
  <dimension ref="B2:P31"/>
  <sheetViews>
    <sheetView workbookViewId="0">
      <selection activeCell="K14" sqref="K14:P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>
        <f>(G4/$D$29)*100</f>
        <v>0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>
        <f>(G5/$D$29)*100</f>
        <v>0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1019</v>
      </c>
      <c r="E6" s="3">
        <v>334</v>
      </c>
      <c r="F6" s="3">
        <v>685</v>
      </c>
      <c r="G6" s="3">
        <v>6</v>
      </c>
      <c r="H6" s="18">
        <f t="shared" si="0"/>
        <v>32.77723258096173</v>
      </c>
      <c r="I6" s="22">
        <f>(G6/$D$29)*100</f>
        <v>0.58536585365853655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>
        <f>(G7/$D$29)*100</f>
        <v>0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>
        <f>(G8/$D$29)*100</f>
        <v>0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949</v>
      </c>
      <c r="E9" s="1">
        <v>285</v>
      </c>
      <c r="F9" s="1">
        <v>664</v>
      </c>
      <c r="G9" s="1">
        <v>76</v>
      </c>
      <c r="H9" s="19">
        <f t="shared" si="0"/>
        <v>30.031612223393044</v>
      </c>
      <c r="I9" s="23">
        <f>(G9/$D$29)*100</f>
        <v>7.4146341463414629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>
        <f>(G10/$D$29)*100</f>
        <v>0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>
        <f>(G11/$D$29)*100</f>
        <v>0</v>
      </c>
      <c r="J11" s="4"/>
    </row>
    <row r="12" spans="2:16" x14ac:dyDescent="0.3">
      <c r="B12" s="26"/>
      <c r="C12" s="3" t="s">
        <v>10</v>
      </c>
      <c r="D12" s="3">
        <v>996</v>
      </c>
      <c r="E12" s="3">
        <v>332</v>
      </c>
      <c r="F12" s="3">
        <v>664</v>
      </c>
      <c r="G12" s="3">
        <v>29</v>
      </c>
      <c r="H12" s="18">
        <f t="shared" si="0"/>
        <v>33.333333333333329</v>
      </c>
      <c r="I12" s="22">
        <f>(G12/$D$29)*100</f>
        <v>2.8292682926829271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>
        <f>(G13/$D$29)*100</f>
        <v>0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>
        <f>(G14/$D$29)*100</f>
        <v>0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557</v>
      </c>
      <c r="E15" s="1">
        <v>133</v>
      </c>
      <c r="F15" s="1">
        <v>424</v>
      </c>
      <c r="G15" s="1">
        <v>468</v>
      </c>
      <c r="H15" s="19">
        <f t="shared" si="0"/>
        <v>23.877917414721722</v>
      </c>
      <c r="I15" s="23">
        <f>(G15/$D$29)*100</f>
        <v>45.658536585365859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>
        <f>(G16/$D$29)*100</f>
        <v>0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>
        <f>(G17/$D$29)*100</f>
        <v>0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>
        <f>(G20/$D$29)*100</f>
        <v>0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268</v>
      </c>
      <c r="E21" s="1">
        <v>70</v>
      </c>
      <c r="F21" s="1">
        <v>198</v>
      </c>
      <c r="G21" s="1">
        <v>757</v>
      </c>
      <c r="H21" s="19">
        <f t="shared" si="0"/>
        <v>26.119402985074625</v>
      </c>
      <c r="I21" s="23">
        <f>(G21/$D$29)*100</f>
        <v>73.853658536585371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>
        <f>(G22/$D$29)*100</f>
        <v>0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>
        <f>(G23/$D$29)*100</f>
        <v>0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1">SUM(D29:D30)</f>
        <v>1025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3560-26BB-46E4-B45A-0558292634D7}">
  <sheetPr>
    <tabColor theme="8" tint="0.59999389629810485"/>
  </sheetPr>
  <dimension ref="B2:P31"/>
  <sheetViews>
    <sheetView topLeftCell="A3" workbookViewId="0">
      <selection activeCell="H21" sqref="H21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28" t="s">
        <v>26</v>
      </c>
      <c r="C2" s="29"/>
      <c r="D2" s="29"/>
      <c r="E2" s="29"/>
      <c r="F2" s="29"/>
      <c r="G2" s="29"/>
      <c r="H2" s="29"/>
      <c r="I2" s="29"/>
      <c r="K2" s="30" t="s">
        <v>36</v>
      </c>
      <c r="L2" s="30"/>
      <c r="M2" s="30"/>
      <c r="N2" s="30"/>
      <c r="O2" s="30"/>
      <c r="P2" s="30"/>
    </row>
    <row r="3" spans="2:16" ht="43.2" x14ac:dyDescent="0.3">
      <c r="B3" s="31" t="s">
        <v>4</v>
      </c>
      <c r="C3" s="32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26" t="s">
        <v>5</v>
      </c>
      <c r="C4" s="3" t="s">
        <v>15</v>
      </c>
      <c r="D4" s="3"/>
      <c r="E4" s="3"/>
      <c r="F4" s="3"/>
      <c r="G4" s="3"/>
      <c r="H4" s="18" t="e">
        <f>(E4/D4)*100</f>
        <v>#DIV/0!</v>
      </c>
      <c r="I4" s="22" t="e">
        <f>(G4/$D$29)*100</f>
        <v>#DIV/0!</v>
      </c>
      <c r="J4" s="4"/>
      <c r="K4" s="14" t="s">
        <v>5</v>
      </c>
      <c r="L4" s="7" t="e">
        <f>H5-H6</f>
        <v>#DIV/0!</v>
      </c>
      <c r="M4" s="8"/>
      <c r="N4" s="7" t="e">
        <f>H4-H5</f>
        <v>#DIV/0!</v>
      </c>
      <c r="O4" s="8"/>
      <c r="P4" s="7" t="e">
        <f>H4-H6</f>
        <v>#DIV/0!</v>
      </c>
    </row>
    <row r="5" spans="2:16" x14ac:dyDescent="0.3">
      <c r="B5" s="26"/>
      <c r="C5" s="3" t="s">
        <v>14</v>
      </c>
      <c r="D5" s="3"/>
      <c r="E5" s="3"/>
      <c r="F5" s="3"/>
      <c r="G5" s="3"/>
      <c r="H5" s="18" t="e">
        <f t="shared" ref="H5:H23" si="0">(E5/D5)*100</f>
        <v>#DIV/0!</v>
      </c>
      <c r="I5" s="22" t="e">
        <f>(G5/$D$29)*100</f>
        <v>#DIV/0!</v>
      </c>
      <c r="J5" s="4"/>
      <c r="K5" s="14" t="s">
        <v>6</v>
      </c>
      <c r="L5" s="7" t="e">
        <f>H8-H9</f>
        <v>#DIV/0!</v>
      </c>
      <c r="M5" s="8"/>
      <c r="N5" s="7" t="e">
        <f>H7-H8</f>
        <v>#DIV/0!</v>
      </c>
      <c r="O5" s="8"/>
      <c r="P5" s="7" t="e">
        <f>H7-H9</f>
        <v>#DIV/0!</v>
      </c>
    </row>
    <row r="6" spans="2:16" x14ac:dyDescent="0.3">
      <c r="B6" s="26"/>
      <c r="C6" s="3" t="s">
        <v>10</v>
      </c>
      <c r="D6" s="3">
        <v>1002</v>
      </c>
      <c r="E6" s="3">
        <v>419</v>
      </c>
      <c r="F6" s="3">
        <v>583</v>
      </c>
      <c r="G6" s="3">
        <v>8</v>
      </c>
      <c r="H6" s="18">
        <f t="shared" si="0"/>
        <v>41.816367265469061</v>
      </c>
      <c r="I6" s="22" t="e">
        <f>(G6/$D$29)*100</f>
        <v>#DIV/0!</v>
      </c>
      <c r="J6" s="4"/>
      <c r="K6" s="14" t="s">
        <v>7</v>
      </c>
      <c r="L6" s="7" t="e">
        <f>H11-H12</f>
        <v>#DIV/0!</v>
      </c>
      <c r="M6" s="8"/>
      <c r="N6" s="7" t="e">
        <f>H10-H11</f>
        <v>#DIV/0!</v>
      </c>
      <c r="O6" s="8"/>
      <c r="P6" s="7" t="e">
        <f>H10-H12</f>
        <v>#DIV/0!</v>
      </c>
    </row>
    <row r="7" spans="2:16" x14ac:dyDescent="0.3">
      <c r="B7" s="26" t="s">
        <v>6</v>
      </c>
      <c r="C7" s="1" t="s">
        <v>15</v>
      </c>
      <c r="D7" s="1"/>
      <c r="E7" s="1"/>
      <c r="F7" s="1"/>
      <c r="G7" s="1"/>
      <c r="H7" s="19" t="e">
        <f t="shared" si="0"/>
        <v>#DIV/0!</v>
      </c>
      <c r="I7" s="23" t="e">
        <f>(G7/$D$29)*100</f>
        <v>#DIV/0!</v>
      </c>
      <c r="J7" s="4"/>
      <c r="K7" s="14" t="s">
        <v>8</v>
      </c>
      <c r="L7" s="7" t="e">
        <f>H14-H15</f>
        <v>#DIV/0!</v>
      </c>
      <c r="M7" s="8"/>
      <c r="N7" s="7" t="e">
        <f>H13-H14</f>
        <v>#DIV/0!</v>
      </c>
      <c r="O7" s="8"/>
      <c r="P7" s="7" t="e">
        <f>H13-H15</f>
        <v>#DIV/0!</v>
      </c>
    </row>
    <row r="8" spans="2:16" x14ac:dyDescent="0.3">
      <c r="B8" s="26"/>
      <c r="C8" s="1" t="s">
        <v>14</v>
      </c>
      <c r="D8" s="1"/>
      <c r="E8" s="1"/>
      <c r="F8" s="1"/>
      <c r="G8" s="1"/>
      <c r="H8" s="19" t="e">
        <f t="shared" si="0"/>
        <v>#DIV/0!</v>
      </c>
      <c r="I8" s="23" t="e">
        <f>(G8/$D$29)*100</f>
        <v>#DIV/0!</v>
      </c>
      <c r="J8" s="4"/>
      <c r="K8" s="14" t="s">
        <v>11</v>
      </c>
      <c r="L8" s="9"/>
      <c r="M8" s="7" t="e">
        <f>H17-H14</f>
        <v>#DIV/0!</v>
      </c>
      <c r="N8" s="7" t="e">
        <f>H16-H17</f>
        <v>#DIV/0!</v>
      </c>
      <c r="O8" s="7" t="e">
        <f>H16-H13</f>
        <v>#DIV/0!</v>
      </c>
      <c r="P8" s="7" t="e">
        <f>H16-H15</f>
        <v>#DIV/0!</v>
      </c>
    </row>
    <row r="9" spans="2:16" x14ac:dyDescent="0.3">
      <c r="B9" s="26"/>
      <c r="C9" s="1" t="s">
        <v>10</v>
      </c>
      <c r="D9" s="1">
        <v>833</v>
      </c>
      <c r="E9" s="1">
        <v>283</v>
      </c>
      <c r="F9" s="1">
        <v>550</v>
      </c>
      <c r="G9" s="1">
        <v>177</v>
      </c>
      <c r="H9" s="19">
        <f t="shared" si="0"/>
        <v>33.973589435774308</v>
      </c>
      <c r="I9" s="23" t="e">
        <f>(G9/$D$29)*100</f>
        <v>#DIV/0!</v>
      </c>
      <c r="J9" s="4"/>
      <c r="K9" s="14" t="s">
        <v>9</v>
      </c>
      <c r="L9" s="7" t="e">
        <f>H20-H21</f>
        <v>#DIV/0!</v>
      </c>
      <c r="M9" s="8"/>
      <c r="N9" s="7" t="e">
        <f>H19-H20</f>
        <v>#DIV/0!</v>
      </c>
      <c r="O9" s="8"/>
      <c r="P9" s="7" t="e">
        <f>H19-H21</f>
        <v>#DIV/0!</v>
      </c>
    </row>
    <row r="10" spans="2:16" x14ac:dyDescent="0.3">
      <c r="B10" s="26" t="s">
        <v>7</v>
      </c>
      <c r="C10" s="3" t="s">
        <v>15</v>
      </c>
      <c r="D10" s="3"/>
      <c r="E10" s="3"/>
      <c r="F10" s="3"/>
      <c r="G10" s="3"/>
      <c r="H10" s="18" t="e">
        <f t="shared" si="0"/>
        <v>#DIV/0!</v>
      </c>
      <c r="I10" s="22" t="e">
        <f>(G10/$D$29)*100</f>
        <v>#DIV/0!</v>
      </c>
      <c r="J10" s="4"/>
      <c r="K10" s="14" t="s">
        <v>12</v>
      </c>
      <c r="L10" s="9"/>
      <c r="M10" s="7" t="e">
        <f>H23-H20</f>
        <v>#DIV/0!</v>
      </c>
      <c r="N10" s="7" t="e">
        <f>H22-H23</f>
        <v>#DIV/0!</v>
      </c>
      <c r="O10" s="7" t="e">
        <f>H22-H20</f>
        <v>#DIV/0!</v>
      </c>
      <c r="P10" s="7" t="e">
        <f>H22-H21</f>
        <v>#DIV/0!</v>
      </c>
    </row>
    <row r="11" spans="2:16" x14ac:dyDescent="0.3">
      <c r="B11" s="26"/>
      <c r="C11" s="3" t="s">
        <v>14</v>
      </c>
      <c r="D11" s="3"/>
      <c r="E11" s="3"/>
      <c r="F11" s="3"/>
      <c r="G11" s="3"/>
      <c r="H11" s="18" t="e">
        <f t="shared" si="0"/>
        <v>#DIV/0!</v>
      </c>
      <c r="I11" s="22" t="e">
        <f>(G11/$D$29)*100</f>
        <v>#DIV/0!</v>
      </c>
      <c r="J11" s="4"/>
    </row>
    <row r="12" spans="2:16" x14ac:dyDescent="0.3">
      <c r="B12" s="26"/>
      <c r="C12" s="3" t="s">
        <v>10</v>
      </c>
      <c r="D12" s="3">
        <v>983</v>
      </c>
      <c r="E12" s="3">
        <v>430</v>
      </c>
      <c r="F12" s="3">
        <v>553</v>
      </c>
      <c r="G12" s="3">
        <v>27</v>
      </c>
      <c r="H12" s="18">
        <f t="shared" si="0"/>
        <v>43.743641912512714</v>
      </c>
      <c r="I12" s="22" t="e">
        <f>(G12/$D$29)*100</f>
        <v>#DIV/0!</v>
      </c>
      <c r="J12" s="4"/>
    </row>
    <row r="13" spans="2:16" x14ac:dyDescent="0.3">
      <c r="B13" s="26" t="s">
        <v>8</v>
      </c>
      <c r="C13" s="1" t="s">
        <v>15</v>
      </c>
      <c r="D13" s="1"/>
      <c r="E13" s="1"/>
      <c r="F13" s="1"/>
      <c r="G13" s="1"/>
      <c r="H13" s="19" t="e">
        <f t="shared" si="0"/>
        <v>#DIV/0!</v>
      </c>
      <c r="I13" s="23" t="e">
        <f>(G13/$D$29)*100</f>
        <v>#DIV/0!</v>
      </c>
      <c r="J13" s="4"/>
    </row>
    <row r="14" spans="2:16" x14ac:dyDescent="0.3">
      <c r="B14" s="26"/>
      <c r="C14" s="1" t="s">
        <v>14</v>
      </c>
      <c r="D14" s="1"/>
      <c r="E14" s="1"/>
      <c r="F14" s="1"/>
      <c r="G14" s="1"/>
      <c r="H14" s="19" t="e">
        <f t="shared" si="0"/>
        <v>#DIV/0!</v>
      </c>
      <c r="I14" s="23" t="e">
        <f>(G14/$D$29)*100</f>
        <v>#DIV/0!</v>
      </c>
      <c r="J14" s="4"/>
      <c r="K14" s="33" t="s">
        <v>22</v>
      </c>
      <c r="L14" s="34"/>
      <c r="M14" s="34"/>
      <c r="N14" s="34"/>
      <c r="O14" s="34"/>
      <c r="P14" s="35"/>
    </row>
    <row r="15" spans="2:16" x14ac:dyDescent="0.3">
      <c r="B15" s="26"/>
      <c r="C15" s="1" t="s">
        <v>10</v>
      </c>
      <c r="D15" s="1">
        <v>186</v>
      </c>
      <c r="E15" s="1">
        <v>46</v>
      </c>
      <c r="F15" s="1">
        <v>140</v>
      </c>
      <c r="G15" s="1">
        <v>824</v>
      </c>
      <c r="H15" s="19">
        <f t="shared" si="0"/>
        <v>24.731182795698924</v>
      </c>
      <c r="I15" s="23" t="e">
        <f>(G15/$D$29)*100</f>
        <v>#DIV/0!</v>
      </c>
      <c r="J15" s="4"/>
      <c r="K15" s="24" t="s">
        <v>23</v>
      </c>
      <c r="L15" s="25"/>
      <c r="M15" s="24" t="s">
        <v>14</v>
      </c>
      <c r="N15" s="25"/>
      <c r="O15" s="24" t="s">
        <v>15</v>
      </c>
      <c r="P15" s="25"/>
    </row>
    <row r="16" spans="2:16" x14ac:dyDescent="0.3">
      <c r="B16" s="36" t="s">
        <v>11</v>
      </c>
      <c r="C16" s="3" t="s">
        <v>15</v>
      </c>
      <c r="D16" s="3"/>
      <c r="E16" s="3"/>
      <c r="F16" s="3"/>
      <c r="G16" s="3"/>
      <c r="H16" s="18" t="e">
        <f t="shared" si="0"/>
        <v>#DIV/0!</v>
      </c>
      <c r="I16" s="22" t="e">
        <f>(G16/$D$29)*100</f>
        <v>#DIV/0!</v>
      </c>
      <c r="J16" s="4"/>
      <c r="K16" s="21" t="s">
        <v>24</v>
      </c>
      <c r="L16" s="10" t="s">
        <v>25</v>
      </c>
      <c r="M16" s="21" t="s">
        <v>24</v>
      </c>
      <c r="N16" s="10" t="s">
        <v>25</v>
      </c>
      <c r="O16" s="21" t="s">
        <v>24</v>
      </c>
      <c r="P16" s="10" t="s">
        <v>25</v>
      </c>
    </row>
    <row r="17" spans="2:16" x14ac:dyDescent="0.3">
      <c r="B17" s="37"/>
      <c r="C17" s="3" t="s">
        <v>14</v>
      </c>
      <c r="D17" s="3"/>
      <c r="E17" s="3"/>
      <c r="F17" s="3"/>
      <c r="G17" s="3"/>
      <c r="H17" s="18" t="e">
        <f t="shared" si="0"/>
        <v>#DIV/0!</v>
      </c>
      <c r="I17" s="22" t="e">
        <f>(G17/$D$29)*100</f>
        <v>#DIV/0!</v>
      </c>
      <c r="J17" s="4"/>
      <c r="K17" s="1" t="s">
        <v>5</v>
      </c>
      <c r="L17" s="11"/>
      <c r="M17" s="1" t="s">
        <v>5</v>
      </c>
      <c r="N17" s="11"/>
      <c r="O17" s="1" t="s">
        <v>5</v>
      </c>
      <c r="P17" s="11"/>
    </row>
    <row r="18" spans="2:16" x14ac:dyDescent="0.3">
      <c r="B18" s="38"/>
      <c r="C18" s="41" t="s">
        <v>10</v>
      </c>
      <c r="D18" s="41"/>
      <c r="E18" s="41"/>
      <c r="F18" s="41"/>
      <c r="G18" s="41"/>
      <c r="H18" s="42"/>
      <c r="I18" s="43"/>
      <c r="J18" s="4"/>
      <c r="K18" s="1" t="s">
        <v>6</v>
      </c>
      <c r="L18" s="11"/>
      <c r="M18" s="1" t="s">
        <v>6</v>
      </c>
      <c r="N18" s="11"/>
      <c r="O18" s="1" t="s">
        <v>6</v>
      </c>
      <c r="P18" s="11"/>
    </row>
    <row r="19" spans="2:16" x14ac:dyDescent="0.3">
      <c r="B19" s="26" t="s">
        <v>9</v>
      </c>
      <c r="C19" s="1" t="s">
        <v>15</v>
      </c>
      <c r="D19" s="1"/>
      <c r="E19" s="1"/>
      <c r="F19" s="1"/>
      <c r="G19" s="1"/>
      <c r="H19" s="19" t="e">
        <f t="shared" si="0"/>
        <v>#DIV/0!</v>
      </c>
      <c r="I19" s="23" t="e">
        <f>(G19/$D$29)*100</f>
        <v>#DIV/0!</v>
      </c>
      <c r="J19" s="4"/>
      <c r="K19" s="1"/>
      <c r="L19" s="11"/>
      <c r="M19" s="1"/>
      <c r="N19" s="11"/>
      <c r="O19" s="1"/>
      <c r="P19" s="11"/>
    </row>
    <row r="20" spans="2:16" x14ac:dyDescent="0.3">
      <c r="B20" s="26"/>
      <c r="C20" s="1" t="s">
        <v>14</v>
      </c>
      <c r="D20" s="1"/>
      <c r="E20" s="1"/>
      <c r="F20" s="1"/>
      <c r="G20" s="1"/>
      <c r="H20" s="19" t="e">
        <f t="shared" si="0"/>
        <v>#DIV/0!</v>
      </c>
      <c r="I20" s="23" t="e">
        <f>(G20/$D$29)*100</f>
        <v>#DIV/0!</v>
      </c>
      <c r="J20" s="4"/>
      <c r="K20" s="1" t="s">
        <v>7</v>
      </c>
      <c r="L20" s="11"/>
      <c r="M20" s="1" t="s">
        <v>7</v>
      </c>
      <c r="N20" s="11"/>
      <c r="O20" s="1" t="s">
        <v>7</v>
      </c>
      <c r="P20" s="11"/>
    </row>
    <row r="21" spans="2:16" x14ac:dyDescent="0.3">
      <c r="B21" s="26"/>
      <c r="C21" s="1" t="s">
        <v>10</v>
      </c>
      <c r="D21" s="1">
        <v>235</v>
      </c>
      <c r="E21" s="1">
        <v>52</v>
      </c>
      <c r="F21" s="1">
        <v>183</v>
      </c>
      <c r="G21" s="1">
        <v>775</v>
      </c>
      <c r="H21" s="19">
        <f t="shared" si="0"/>
        <v>22.127659574468083</v>
      </c>
      <c r="I21" s="23" t="e">
        <f>(G21/$D$29)*100</f>
        <v>#DIV/0!</v>
      </c>
      <c r="J21" s="4"/>
      <c r="K21" s="1" t="s">
        <v>8</v>
      </c>
      <c r="L21" s="11"/>
      <c r="M21" s="1" t="s">
        <v>8</v>
      </c>
      <c r="N21" s="11"/>
      <c r="O21" s="1" t="s">
        <v>8</v>
      </c>
      <c r="P21" s="11"/>
    </row>
    <row r="22" spans="2:16" x14ac:dyDescent="0.3">
      <c r="B22" s="39" t="s">
        <v>12</v>
      </c>
      <c r="C22" s="3" t="s">
        <v>15</v>
      </c>
      <c r="D22" s="3"/>
      <c r="E22" s="3"/>
      <c r="F22" s="3"/>
      <c r="G22" s="3"/>
      <c r="H22" s="18" t="e">
        <f t="shared" si="0"/>
        <v>#DIV/0!</v>
      </c>
      <c r="I22" s="22" t="e">
        <f>(G22/$D$29)*100</f>
        <v>#DIV/0!</v>
      </c>
      <c r="J22" s="4"/>
      <c r="K22" s="1" t="s">
        <v>9</v>
      </c>
      <c r="L22" s="11"/>
      <c r="M22" s="1" t="s">
        <v>11</v>
      </c>
      <c r="N22" s="11"/>
      <c r="O22" s="1" t="s">
        <v>11</v>
      </c>
      <c r="P22" s="11"/>
    </row>
    <row r="23" spans="2:16" x14ac:dyDescent="0.3">
      <c r="B23" s="40"/>
      <c r="C23" s="3" t="s">
        <v>14</v>
      </c>
      <c r="D23" s="5"/>
      <c r="E23" s="5"/>
      <c r="F23" s="5"/>
      <c r="G23" s="5"/>
      <c r="H23" s="18" t="e">
        <f t="shared" si="0"/>
        <v>#DIV/0!</v>
      </c>
      <c r="I23" s="22" t="e">
        <f>(G23/$D$29)*100</f>
        <v>#DIV/0!</v>
      </c>
      <c r="J23" s="4"/>
      <c r="M23" s="1" t="s">
        <v>9</v>
      </c>
      <c r="N23" s="11"/>
      <c r="O23" s="1" t="s">
        <v>9</v>
      </c>
      <c r="P23" s="11"/>
    </row>
    <row r="24" spans="2:16" x14ac:dyDescent="0.3">
      <c r="B24" s="40"/>
      <c r="C24" s="41" t="s">
        <v>10</v>
      </c>
      <c r="D24" s="41"/>
      <c r="E24" s="41"/>
      <c r="F24" s="41"/>
      <c r="G24" s="41"/>
      <c r="H24" s="42"/>
      <c r="I24" s="43"/>
      <c r="J24" s="4"/>
      <c r="M24" s="1" t="s">
        <v>12</v>
      </c>
      <c r="N24" s="11"/>
      <c r="O24" s="1" t="s">
        <v>12</v>
      </c>
      <c r="P24" s="11"/>
    </row>
    <row r="25" spans="2:16" x14ac:dyDescent="0.3">
      <c r="J25" s="4"/>
    </row>
    <row r="26" spans="2:16" x14ac:dyDescent="0.3">
      <c r="J26" s="4"/>
    </row>
    <row r="27" spans="2:16" x14ac:dyDescent="0.3">
      <c r="B27" s="27" t="s">
        <v>34</v>
      </c>
      <c r="C27" s="27"/>
      <c r="D27" s="27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1010</v>
      </c>
      <c r="D29" s="12"/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1010</v>
      </c>
      <c r="D31" s="12">
        <f t="shared" ref="D31" si="1">SUM(D29:D30)</f>
        <v>0</v>
      </c>
    </row>
  </sheetData>
  <mergeCells count="15">
    <mergeCell ref="B10:B12"/>
    <mergeCell ref="K2:P2"/>
    <mergeCell ref="B3:C3"/>
    <mergeCell ref="B4:B6"/>
    <mergeCell ref="B7:B9"/>
    <mergeCell ref="B2:I2"/>
    <mergeCell ref="B19:B21"/>
    <mergeCell ref="B27:D27"/>
    <mergeCell ref="B13:B15"/>
    <mergeCell ref="K14:P14"/>
    <mergeCell ref="K15:L15"/>
    <mergeCell ref="M15:N15"/>
    <mergeCell ref="O15:P15"/>
    <mergeCell ref="B16:B18"/>
    <mergeCell ref="B22:B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Prompt</vt:lpstr>
      <vt:lpstr>Prueba_BIOLOGIA_2020</vt:lpstr>
      <vt:lpstr>Global</vt:lpstr>
      <vt:lpstr>MEDICINA</vt:lpstr>
      <vt:lpstr>ENFERMERÍA</vt:lpstr>
      <vt:lpstr>BIOLOGÍA</vt:lpstr>
      <vt:lpstr>FARMACIA</vt:lpstr>
      <vt:lpstr>PSICOLOGÍA</vt:lpstr>
      <vt:lpstr>FÍSICA</vt:lpstr>
      <vt:lpstr>QUÍMICA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Ariceta García</dc:creator>
  <cp:lastModifiedBy>Lorena Ariceta García</cp:lastModifiedBy>
  <dcterms:created xsi:type="dcterms:W3CDTF">2015-06-05T18:19:34Z</dcterms:created>
  <dcterms:modified xsi:type="dcterms:W3CDTF">2025-07-21T20:38:30Z</dcterms:modified>
</cp:coreProperties>
</file>