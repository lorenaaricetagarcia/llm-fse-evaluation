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d56eb89965c5422/Escritorio/TFM_Final/results/"/>
    </mc:Choice>
  </mc:AlternateContent>
  <xr:revisionPtr revIDLastSave="291" documentId="13_ncr:1_{34A1DD82-9384-4C9A-B28A-3755F0CB8761}" xr6:coauthVersionLast="47" xr6:coauthVersionMax="47" xr10:uidLastSave="{5D0B46AB-5F3C-4B0F-B150-BCBF3FAEDF51}"/>
  <bookViews>
    <workbookView xWindow="384" yWindow="384" windowWidth="21600" windowHeight="11232" firstSheet="5" activeTab="8" xr2:uid="{58C87A6F-1B14-4A64-A70F-5072DDA12830}"/>
  </bookViews>
  <sheets>
    <sheet name="Prueba inicial" sheetId="1" r:id="rId1"/>
    <sheet name="Gráficas" sheetId="4" r:id="rId2"/>
    <sheet name="Comparativa" sheetId="5" r:id="rId3"/>
    <sheet name="PRUEBA FINAL Medicina" sheetId="6" r:id="rId4"/>
    <sheet name="Comparativa idioma" sheetId="7" r:id="rId5"/>
    <sheet name="Comparativa Final" sheetId="10" r:id="rId6"/>
    <sheet name="Wikipedia Final ES" sheetId="8" r:id="rId7"/>
    <sheet name="Pubmed Final ES" sheetId="9" r:id="rId8"/>
    <sheet name="Wikipedia_Pubmed Final EN" sheetId="11" r:id="rId9"/>
  </sheets>
  <definedNames>
    <definedName name="_xlnm._FilterDatabase" localSheetId="8" hidden="1">'Wikipedia_Pubmed Final EN'!$A$1:$K$57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6" i="10" l="1"/>
  <c r="E35" i="10"/>
  <c r="F35" i="10"/>
  <c r="G35" i="10"/>
  <c r="E27" i="10"/>
  <c r="F27" i="10"/>
  <c r="G27" i="10"/>
  <c r="E19" i="10"/>
  <c r="F19" i="10"/>
  <c r="G19" i="10"/>
  <c r="E11" i="10"/>
  <c r="F11" i="10"/>
  <c r="G11" i="10"/>
  <c r="D35" i="10"/>
  <c r="D27" i="10"/>
  <c r="D19" i="10"/>
  <c r="D11" i="10"/>
  <c r="G4" i="5"/>
  <c r="G5" i="5"/>
  <c r="G6" i="5"/>
  <c r="G7" i="5"/>
  <c r="G8" i="5"/>
  <c r="G9" i="5"/>
  <c r="G10" i="5"/>
  <c r="G11" i="5"/>
  <c r="G3" i="5"/>
  <c r="E13" i="5"/>
  <c r="F13" i="5"/>
  <c r="D13" i="5"/>
  <c r="E28" i="4"/>
  <c r="F28" i="4"/>
  <c r="E29" i="4"/>
  <c r="F29" i="4"/>
  <c r="E30" i="4"/>
  <c r="F30" i="4"/>
  <c r="E31" i="4"/>
  <c r="F31" i="4"/>
  <c r="D31" i="4"/>
  <c r="D30" i="4"/>
  <c r="D29" i="4"/>
  <c r="D28" i="4"/>
  <c r="E27" i="4"/>
  <c r="F27" i="4"/>
  <c r="D27" i="4"/>
  <c r="F26" i="4"/>
  <c r="E26" i="4"/>
  <c r="D26" i="4"/>
  <c r="G36" i="10" l="1"/>
  <c r="E36" i="10"/>
  <c r="D36" i="10"/>
</calcChain>
</file>

<file path=xl/sharedStrings.xml><?xml version="1.0" encoding="utf-8"?>
<sst xmlns="http://schemas.openxmlformats.org/spreadsheetml/2006/main" count="948" uniqueCount="170">
  <si>
    <t>llama3</t>
  </si>
  <si>
    <t>Wikipedia</t>
  </si>
  <si>
    <t>Pubmed</t>
  </si>
  <si>
    <t>v1</t>
  </si>
  <si>
    <t>v2</t>
  </si>
  <si>
    <t>v3</t>
  </si>
  <si>
    <t>Total preguntas</t>
  </si>
  <si>
    <t>Aciertos</t>
  </si>
  <si>
    <t>Errores</t>
  </si>
  <si>
    <t>Sin respuesta</t>
  </si>
  <si>
    <t>gemma</t>
  </si>
  <si>
    <t>mistral</t>
  </si>
  <si>
    <t>Accuracy (%)</t>
  </si>
  <si>
    <t>Version</t>
  </si>
  <si>
    <t>Con Wikipedia/Pubmed</t>
  </si>
  <si>
    <t>Con Wikipedia/ Pubmed</t>
  </si>
  <si>
    <t>Global</t>
  </si>
  <si>
    <t>Sin Wikipedia/Pubmed</t>
  </si>
  <si>
    <t>Sin Wikipedia/ Pubmed</t>
  </si>
  <si>
    <t>Source</t>
  </si>
  <si>
    <t>Model</t>
  </si>
  <si>
    <t>Modelo</t>
  </si>
  <si>
    <t>No Prompt</t>
  </si>
  <si>
    <t>Prompt ES</t>
  </si>
  <si>
    <t>Prompt EN</t>
  </si>
  <si>
    <t>PROMPT ES</t>
  </si>
  <si>
    <t>final</t>
  </si>
  <si>
    <t>PRUEBA - ES</t>
  </si>
  <si>
    <t>PRUEBA - EN</t>
  </si>
  <si>
    <t>48.89</t>
  </si>
  <si>
    <t>BIOLOGIA</t>
  </si>
  <si>
    <t>ENFERMERIA</t>
  </si>
  <si>
    <t>FARMACIA</t>
  </si>
  <si>
    <t>FISICA</t>
  </si>
  <si>
    <t>MEDICINA</t>
  </si>
  <si>
    <t>PSICOLOGIA</t>
  </si>
  <si>
    <t>QUIMICA</t>
  </si>
  <si>
    <t>medllama2</t>
  </si>
  <si>
    <t>ES</t>
  </si>
  <si>
    <t>EN</t>
  </si>
  <si>
    <t>WIKIPEDIA</t>
  </si>
  <si>
    <t>PUBMED</t>
  </si>
  <si>
    <t>Specialization</t>
  </si>
  <si>
    <t>Lang</t>
  </si>
  <si>
    <t>Total questions</t>
  </si>
  <si>
    <t>Correct</t>
  </si>
  <si>
    <t>Errors</t>
  </si>
  <si>
    <t>No answer</t>
  </si>
  <si>
    <t>BIOLOGÍA</t>
  </si>
  <si>
    <t>PubMed</t>
  </si>
  <si>
    <t>es</t>
  </si>
  <si>
    <t>58.41</t>
  </si>
  <si>
    <t>55.92</t>
  </si>
  <si>
    <t>53.57</t>
  </si>
  <si>
    <t>30.48</t>
  </si>
  <si>
    <t>ENFERMERÍA</t>
  </si>
  <si>
    <t>44.54</t>
  </si>
  <si>
    <t>44.56</t>
  </si>
  <si>
    <t>29.43</t>
  </si>
  <si>
    <t>48.05</t>
  </si>
  <si>
    <t>43.3</t>
  </si>
  <si>
    <t>44.63</t>
  </si>
  <si>
    <t>27.09</t>
  </si>
  <si>
    <t>FÍSICA</t>
  </si>
  <si>
    <t>32.91</t>
  </si>
  <si>
    <t>30.47</t>
  </si>
  <si>
    <t>35.06</t>
  </si>
  <si>
    <t>26.19</t>
  </si>
  <si>
    <t>46.11</t>
  </si>
  <si>
    <t>42.91</t>
  </si>
  <si>
    <t>39.78</t>
  </si>
  <si>
    <t>23.87</t>
  </si>
  <si>
    <t>PSICOLOGÍA</t>
  </si>
  <si>
    <t>44.68</t>
  </si>
  <si>
    <t>44.39</t>
  </si>
  <si>
    <t>42.44</t>
  </si>
  <si>
    <t>26.81</t>
  </si>
  <si>
    <t>QUÍMICA</t>
  </si>
  <si>
    <t>39.5</t>
  </si>
  <si>
    <t>37.15</t>
  </si>
  <si>
    <t>41.03</t>
  </si>
  <si>
    <t>29.25</t>
  </si>
  <si>
    <t>Media</t>
  </si>
  <si>
    <t>MEDIA GLOBAL</t>
  </si>
  <si>
    <t>MetricsFile</t>
  </si>
  <si>
    <t>BIOLOGÍA_llama3_wikipedia_final_es_20251221_194113_metrics.xlsx</t>
  </si>
  <si>
    <t>ENFERMERÍA_llama3_wikipedia_final_es_20251221_204005_metrics.xlsx</t>
  </si>
  <si>
    <t>FARMACIA_llama3_wikipedia_final_es_20251221_213934_metrics.xlsx</t>
  </si>
  <si>
    <t>FÍSICA_llama3_wikipedia_final_es_20251221_224652_metrics.xlsx</t>
  </si>
  <si>
    <t>MEDICINA_llama3_wikipedia_final_es_20251221_234419_metrics.xlsx</t>
  </si>
  <si>
    <t>PSICOLOGÍA_llama3_wikipedia_final_es_20251222_004241_metrics.xlsx</t>
  </si>
  <si>
    <t>QUÍMICA_llama3_wikipedia_final_es_20251222_013824_metrics.xlsx</t>
  </si>
  <si>
    <t>BIOLOGÍA_mistral_wikipedia_final_es_20251222_100619_metrics.xlsx</t>
  </si>
  <si>
    <t>BIOLOGÍA_gemma_wikipedia_final_es_20251222_104955_metrics.xlsx</t>
  </si>
  <si>
    <t>BIOLOGÍA_medllama2_wikipedia_final_es_20251222_113757_metrics.xlsx</t>
  </si>
  <si>
    <t>ENFERMERÍA_mistral_wikipedia_final_es_20251222_123503_metrics.xlsx</t>
  </si>
  <si>
    <t>ENFERMERÍA_gemma_wikipedia_final_es_20251222_131621_metrics.xlsx</t>
  </si>
  <si>
    <t>ENFERMERÍA_medllama2_wikipedia_final_es_20251222_141053_metrics.xlsx</t>
  </si>
  <si>
    <t>FARMACIA_mistral_wikipedia_final_es_20251222_145525_metrics.xlsx</t>
  </si>
  <si>
    <t>FARMACIA_gemma_wikipedia_final_es_20251222_152523_metrics.xlsx</t>
  </si>
  <si>
    <t>FARMACIA_medllama2_wikipedia_final_es_20251222_160639_metrics.xlsx</t>
  </si>
  <si>
    <t>FÍSICA_mistral_wikipedia_final_es_20251222_170049_metrics.xlsx</t>
  </si>
  <si>
    <t>FÍSICA_gemma_wikipedia_final_es_20251222_173427_metrics.xlsx</t>
  </si>
  <si>
    <t>FÍSICA_medllama2_wikipedia_final_es_20251222_180558_metrics.xlsx</t>
  </si>
  <si>
    <t>MEDICINA_mistral_wikipedia_final_es_20251222_184859_metrics.xlsx</t>
  </si>
  <si>
    <t>MEDICINA_gemma_wikipedia_final_es_20251222_191521_metrics.xlsx</t>
  </si>
  <si>
    <t>MEDICINA_medllama2_wikipedia_final_es_20251222_203638_metrics.xlsx</t>
  </si>
  <si>
    <t>PSICOLOGÍA_mistral_wikipedia_final_es_20251222_212036_metrics.xlsx</t>
  </si>
  <si>
    <t>PSICOLOGÍA_gemma_wikipedia_final_es_20251222_214953_metrics.xlsx</t>
  </si>
  <si>
    <t>PSICOLOGÍA_medllama2_wikipedia_final_es_20251222_224258_metrics.xlsx</t>
  </si>
  <si>
    <t>QUÍMICA_mistral_wikipedia_final_es_20251222_232750_metrics.xlsx</t>
  </si>
  <si>
    <t>QUÍMICA_gemma_wikipedia_final_es_20251222_235735_metrics.xlsx</t>
  </si>
  <si>
    <t>QUÍMICA_medllama2_wikipedia_final_es_20251223_003554_metrics.xlsx</t>
  </si>
  <si>
    <t>en</t>
  </si>
  <si>
    <t>BIOLOGÍA_llama3_wikipedia_final_en_20251224_111119_metrics.xlsx</t>
  </si>
  <si>
    <t>BIOLOGÍA_llama3_pubmed_final_en_20251224_120034_metrics.xlsx</t>
  </si>
  <si>
    <t>BIOLOGÍA_mistral_wikipedia_final_en_20251224_123607_metrics.xlsx</t>
  </si>
  <si>
    <t>BIOLOGÍA_mistral_pubmed_final_en_20251224_132835_metrics.xlsx</t>
  </si>
  <si>
    <t>BIOLOGÍA_gemma_wikipedia_final_en_20251224_135544_metrics.xlsx</t>
  </si>
  <si>
    <t>BIOLOGÍA_gemma_pubmed_final_en_20251224_144051_metrics.xlsx</t>
  </si>
  <si>
    <t>BIOLOGÍA_medllama2_wikipedia_final_en_20251224_152022_metrics.xlsx</t>
  </si>
  <si>
    <t>BIOLOGÍA_medllama2_pubmed_final_en_20251224_162847_metrics.xlsx</t>
  </si>
  <si>
    <t>ENFERMERÍA_llama3_wikipedia_final_en_20251224_170404_metrics.xlsx</t>
  </si>
  <si>
    <t>ENFERMERÍA_llama3_pubmed_final_en_20251224_174949_metrics.xlsx</t>
  </si>
  <si>
    <t>ENFERMERÍA_mistral_wikipedia_final_en_20251224_182324_metrics.xlsx</t>
  </si>
  <si>
    <t>ENFERMERÍA_mistral_pubmed_final_en_20251224_191322_metrics.xlsx</t>
  </si>
  <si>
    <t>ENFERMERÍA_gemma_wikipedia_final_en_20251224_193954_metrics.xlsx</t>
  </si>
  <si>
    <t>ENFERMERÍA_gemma_pubmed_final_en_20251224_202327_metrics.xlsx</t>
  </si>
  <si>
    <t>ENFERMERÍA_medllama2_wikipedia_final_en_20251224_205803_metrics.xlsx</t>
  </si>
  <si>
    <t>ENFERMERÍA_medllama2_pubmed_final_en_20251224_220016_metrics.xlsx</t>
  </si>
  <si>
    <t>FARMACIA_llama3_wikipedia_final_en_20251224_223916_metrics.xlsx</t>
  </si>
  <si>
    <t>FARMACIA_llama3_pubmed_final_en_20251224_232814_metrics.xlsx</t>
  </si>
  <si>
    <t>FARMACIA_mistral_wikipedia_final_en_20251225_000534_metrics.xlsx</t>
  </si>
  <si>
    <t>FARMACIA_mistral_pubmed_final_en_20251225_005823_metrics.xlsx</t>
  </si>
  <si>
    <t>FARMACIA_gemma_wikipedia_final_en_20251225_012707_metrics.xlsx</t>
  </si>
  <si>
    <t>FARMACIA_gemma_pubmed_final_en_20251225_021301_metrics.xlsx</t>
  </si>
  <si>
    <t>FARMACIA_medllama2_wikipedia_final_en_20251225_024813_metrics.xlsx</t>
  </si>
  <si>
    <t>FARMACIA_medllama2_pubmed_final_en_20251225_035051_metrics.xlsx</t>
  </si>
  <si>
    <t>FÍSICA_llama3_wikipedia_final_en_20251225_043252_metrics.xlsx</t>
  </si>
  <si>
    <t>FÍSICA_llama3_pubmed_final_en_20251225_052539_metrics.xlsx</t>
  </si>
  <si>
    <t>FÍSICA_mistral_wikipedia_final_en_20251225_061056_metrics.xlsx</t>
  </si>
  <si>
    <t>FÍSICA_mistral_pubmed_final_en_20251225_071058_metrics.xlsx</t>
  </si>
  <si>
    <t>FÍSICA_gemma_wikipedia_final_en_20251225_074206_metrics.xlsx</t>
  </si>
  <si>
    <t>FÍSICA_gemma_pubmed_final_en_20251225_083348_metrics.xlsx</t>
  </si>
  <si>
    <t>FÍSICA_medllama2_wikipedia_final_en_20251225_090301_metrics.xlsx</t>
  </si>
  <si>
    <t>FÍSICA_medllama2_pubmed_final_en_20251225_095301_metrics.xlsx</t>
  </si>
  <si>
    <t>MEDICINA_llama3_wikipedia_final_en_20251225_102746_metrics.xlsx</t>
  </si>
  <si>
    <t>MEDICINA_llama3_pubmed_final_en_20251225_111336_metrics.xlsx</t>
  </si>
  <si>
    <t>MEDICINA_mistral_wikipedia_final_en_20251225_115053_metrics.xlsx</t>
  </si>
  <si>
    <t>MEDICINA_mistral_pubmed_final_en_20251225_124145_metrics.xlsx</t>
  </si>
  <si>
    <t>MEDICINA_gemma_wikipedia_final_en_20251225_130756_metrics.xlsx</t>
  </si>
  <si>
    <t>MEDICINA_gemma_pubmed_final_en_20251225_134907_metrics.xlsx</t>
  </si>
  <si>
    <t>MEDICINA_medllama2_wikipedia_final_en_20251225_145759_metrics.xlsx</t>
  </si>
  <si>
    <t>MEDICINA_medllama2_pubmed_final_en_20251225_160759_metrics.xlsx</t>
  </si>
  <si>
    <t>PSICOLOGÍA_llama3_wikipedia_final_en_20251225_164312_metrics.xlsx</t>
  </si>
  <si>
    <t>PSICOLOGÍA_llama3_pubmed_final_en_20251225_173150_metrics.xlsx</t>
  </si>
  <si>
    <t>PSICOLOGÍA_mistral_wikipedia_final_en_20251225_180612_metrics.xlsx</t>
  </si>
  <si>
    <t>PSICOLOGÍA_mistral_pubmed_final_en_20251225_185800_metrics.xlsx</t>
  </si>
  <si>
    <t>PSICOLOGÍA_gemma_wikipedia_final_en_20251225_192528_metrics.xlsx</t>
  </si>
  <si>
    <t>PSICOLOGÍA_gemma_pubmed_final_en_20251225_201149_metrics.xlsx</t>
  </si>
  <si>
    <t>PSICOLOGÍA_medllama2_wikipedia_final_en_20251225_204837_metrics.xlsx</t>
  </si>
  <si>
    <t>PSICOLOGÍA_medllama2_pubmed_final_en_20251225_214611_metrics.xlsx</t>
  </si>
  <si>
    <t>QUÍMICA_llama3_wikipedia_final_en_20251225_222200_metrics.xlsx</t>
  </si>
  <si>
    <t>QUÍMICA_llama3_pubmed_final_en_20251225_230917_metrics.xlsx</t>
  </si>
  <si>
    <t>QUÍMICA_mistral_wikipedia_final_en_20251225_234528_metrics.xlsx</t>
  </si>
  <si>
    <t>QUÍMICA_mistral_pubmed_final_en_20251226_003701_metrics.xlsx</t>
  </si>
  <si>
    <t>QUÍMICA_gemma_wikipedia_final_en_20251226_010359_metrics.xlsx</t>
  </si>
  <si>
    <t>QUÍMICA_gemma_pubmed_final_en_20251226_014816_metrics.xlsx</t>
  </si>
  <si>
    <t>QUÍMICA_medllama2_wikipedia_final_en_20251226_021744_metrics.xlsx</t>
  </si>
  <si>
    <t>QUÍMICA_medllama2_pubmed_final_en_20251226_031015_metrics.xlsx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</si>
</sst>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0"/>
      <name val="Calibri"/>
      <family val="2"/>
    </font>
    <font>
      <b/>
      <sz val="11"/>
      <color theme="1"/>
      <name val="Calibri"/>
      <family val="2"/>
    </font>
    <font>
      <b/>
      <sz val="11"/>
      <color theme="0"/>
      <name val="Calibri"/>
      <family val="2"/>
      <scheme val="minor"/>
    </font>
    <font>
      <sz val="10"/>
      <color theme="1"/>
      <name val="Calibri"/>
      <family val="2"/>
    </font>
    <font>
      <b/>
      <sz val="10"/>
      <color theme="0"/>
      <name val="Calibri"/>
      <family val="2"/>
      <scheme val="minor"/>
    </font>
    <font>
      <b/>
      <sz val="10"/>
      <color theme="0"/>
      <name val="Calibri"/>
      <family val="2"/>
    </font>
    <font>
      <b/>
      <sz val="10"/>
      <color theme="1"/>
      <name val="Calibri"/>
      <family val="2"/>
    </font>
    <font>
      <b/>
      <sz val="11"/>
      <color theme="5"/>
      <name val="Calibri"/>
      <family val="2"/>
    </font>
    <font>
      <b/>
      <sz val="11"/>
      <color theme="8"/>
      <name val="Calibri"/>
      <family val="2"/>
    </font>
    <font>
      <b/>
      <sz val="11"/>
      <color theme="9"/>
      <name val="Calibri"/>
      <family val="2"/>
    </font>
    <font>
      <b/>
      <sz val="11"/>
      <name val="Calibri"/>
      <family val="2"/>
      <scheme val="minor"/>
    </font>
    <font>
      <b/>
      <sz val="11"/>
      <color theme="8"/>
      <name val="Calibri"/>
      <family val="2"/>
      <scheme val="minor"/>
    </font>
    <font>
      <sz val="11"/>
      <color theme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mbria"/>
      <family val="1"/>
    </font>
    <font>
      <sz val="10"/>
      <color rgb="FF000000"/>
      <name val="Calibri"/>
      <family val="2"/>
      <scheme val="minor"/>
    </font>
    <font>
      <b/>
      <sz val="11"/>
      <color theme="4"/>
      <name val="Calibri"/>
      <family val="2"/>
      <scheme val="minor"/>
    </font>
    <font>
      <sz val="11"/>
      <color theme="4"/>
      <name val="Calibri"/>
      <family val="2"/>
      <scheme val="minor"/>
    </font>
    <font>
      <b/>
      <sz val="11"/>
      <name val="Calibri"/>
      <family val="2"/>
    </font>
    <font>
      <u/>
      <sz val="11"/>
      <color theme="1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4.9989318521683403E-2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81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0" borderId="0" xfId="0" applyFont="1" applyAlignment="1">
      <alignment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7" fillId="7" borderId="1" xfId="0" applyFon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 wrapText="1"/>
    </xf>
    <xf numFmtId="164" fontId="9" fillId="8" borderId="1" xfId="0" applyNumberFormat="1" applyFont="1" applyFill="1" applyBorder="1" applyAlignment="1">
      <alignment horizontal="center" vertical="center"/>
    </xf>
    <xf numFmtId="164" fontId="9" fillId="2" borderId="1" xfId="0" applyNumberFormat="1" applyFont="1" applyFill="1" applyBorder="1" applyAlignment="1">
      <alignment horizontal="center" vertical="center"/>
    </xf>
    <xf numFmtId="164" fontId="10" fillId="9" borderId="1" xfId="0" applyNumberFormat="1" applyFont="1" applyFill="1" applyBorder="1" applyAlignment="1">
      <alignment horizontal="center" vertical="center"/>
    </xf>
    <xf numFmtId="164" fontId="10" fillId="0" borderId="1" xfId="0" applyNumberFormat="1" applyFont="1" applyBorder="1" applyAlignment="1">
      <alignment horizontal="center" vertical="center"/>
    </xf>
    <xf numFmtId="164" fontId="11" fillId="10" borderId="1" xfId="0" applyNumberFormat="1" applyFont="1" applyFill="1" applyBorder="1" applyAlignment="1">
      <alignment horizontal="center" vertical="center"/>
    </xf>
    <xf numFmtId="164" fontId="11" fillId="0" borderId="1" xfId="0" applyNumberFormat="1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0" fontId="0" fillId="9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 wrapText="1"/>
    </xf>
    <xf numFmtId="2" fontId="0" fillId="0" borderId="0" xfId="0" applyNumberFormat="1"/>
    <xf numFmtId="2" fontId="0" fillId="11" borderId="0" xfId="0" applyNumberFormat="1" applyFill="1"/>
    <xf numFmtId="0" fontId="0" fillId="12" borderId="1" xfId="0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/>
    </xf>
    <xf numFmtId="0" fontId="4" fillId="4" borderId="7" xfId="0" applyFont="1" applyFill="1" applyBorder="1" applyAlignment="1">
      <alignment horizontal="center"/>
    </xf>
    <xf numFmtId="2" fontId="9" fillId="2" borderId="1" xfId="0" applyNumberFormat="1" applyFont="1" applyFill="1" applyBorder="1" applyAlignment="1">
      <alignment horizontal="center" vertical="center"/>
    </xf>
    <xf numFmtId="2" fontId="9" fillId="8" borderId="1" xfId="0" applyNumberFormat="1" applyFont="1" applyFill="1" applyBorder="1" applyAlignment="1">
      <alignment horizontal="center" vertical="center"/>
    </xf>
    <xf numFmtId="2" fontId="10" fillId="9" borderId="1" xfId="0" applyNumberFormat="1" applyFont="1" applyFill="1" applyBorder="1" applyAlignment="1">
      <alignment horizontal="center" vertical="center"/>
    </xf>
    <xf numFmtId="2" fontId="10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13" borderId="1" xfId="0" applyFill="1" applyBorder="1" applyAlignment="1">
      <alignment horizontal="center" vertical="center"/>
    </xf>
    <xf numFmtId="0" fontId="15" fillId="15" borderId="1" xfId="0" applyFont="1" applyFill="1" applyBorder="1" applyAlignment="1">
      <alignment horizontal="center" vertical="center"/>
    </xf>
    <xf numFmtId="0" fontId="16" fillId="0" borderId="13" xfId="0" applyFont="1" applyBorder="1" applyAlignment="1">
      <alignment horizontal="center" vertical="top" wrapText="1"/>
    </xf>
    <xf numFmtId="0" fontId="17" fillId="0" borderId="0" xfId="0" applyFont="1" applyAlignment="1">
      <alignment horizontal="left" wrapText="1"/>
    </xf>
    <xf numFmtId="0" fontId="17" fillId="0" borderId="0" xfId="0" applyFont="1" applyAlignment="1">
      <alignment horizontal="right" wrapText="1"/>
    </xf>
    <xf numFmtId="0" fontId="0" fillId="16" borderId="1" xfId="0" applyFill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2" fontId="15" fillId="16" borderId="1" xfId="0" applyNumberFormat="1" applyFont="1" applyFill="1" applyBorder="1" applyAlignment="1">
      <alignment horizontal="center" vertical="center"/>
    </xf>
    <xf numFmtId="2" fontId="18" fillId="0" borderId="1" xfId="0" applyNumberFormat="1" applyFont="1" applyBorder="1" applyAlignment="1">
      <alignment horizontal="center" vertical="center"/>
    </xf>
    <xf numFmtId="0" fontId="19" fillId="0" borderId="0" xfId="0" applyFont="1"/>
    <xf numFmtId="0" fontId="20" fillId="0" borderId="1" xfId="0" applyFont="1" applyBorder="1" applyAlignment="1">
      <alignment horizontal="center" vertical="top"/>
    </xf>
    <xf numFmtId="0" fontId="21" fillId="0" borderId="0" xfId="0" applyFont="1"/>
    <xf numFmtId="0" fontId="3" fillId="2" borderId="1" xfId="0" applyFont="1" applyFill="1" applyBorder="1" applyAlignment="1">
      <alignment horizontal="center" vertical="center"/>
    </xf>
    <xf numFmtId="0" fontId="15" fillId="0" borderId="4" xfId="0" applyFont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4" fillId="4" borderId="5" xfId="0" applyFont="1" applyFill="1" applyBorder="1" applyAlignment="1">
      <alignment horizontal="center"/>
    </xf>
    <xf numFmtId="0" fontId="4" fillId="4" borderId="6" xfId="0" applyFont="1" applyFill="1" applyBorder="1" applyAlignment="1">
      <alignment horizontal="center"/>
    </xf>
    <xf numFmtId="0" fontId="4" fillId="4" borderId="7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 wrapText="1"/>
    </xf>
    <xf numFmtId="0" fontId="5" fillId="3" borderId="3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0" fontId="12" fillId="9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15" fillId="13" borderId="1" xfId="0" applyFont="1" applyFill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0" fontId="4" fillId="14" borderId="1" xfId="0" applyFont="1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15" fillId="13" borderId="2" xfId="0" applyFont="1" applyFill="1" applyBorder="1" applyAlignment="1">
      <alignment horizontal="center" vertical="center"/>
    </xf>
    <xf numFmtId="0" fontId="15" fillId="13" borderId="8" xfId="0" applyFont="1" applyFill="1" applyBorder="1" applyAlignment="1">
      <alignment horizontal="center" vertical="center"/>
    </xf>
    <xf numFmtId="0" fontId="15" fillId="13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 b="1"/>
              <a:t>Average model accuracy across RAG versions, models and knowledge sources</a:t>
            </a:r>
            <a:endParaRPr lang="es-E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Gráficas!$D$2:$D$3</c:f>
              <c:strCache>
                <c:ptCount val="2"/>
                <c:pt idx="0">
                  <c:v>Global</c:v>
                </c:pt>
                <c:pt idx="1">
                  <c:v>Accuracy (%)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Gráficas!$A$4:$C$21</c:f>
              <c:multiLvlStrCache>
                <c:ptCount val="18"/>
                <c:lvl>
                  <c:pt idx="0">
                    <c:v>v1</c:v>
                  </c:pt>
                  <c:pt idx="1">
                    <c:v>v2</c:v>
                  </c:pt>
                  <c:pt idx="2">
                    <c:v>v3</c:v>
                  </c:pt>
                  <c:pt idx="3">
                    <c:v>v1</c:v>
                  </c:pt>
                  <c:pt idx="4">
                    <c:v>v2</c:v>
                  </c:pt>
                  <c:pt idx="5">
                    <c:v>v3</c:v>
                  </c:pt>
                  <c:pt idx="6">
                    <c:v>v1</c:v>
                  </c:pt>
                  <c:pt idx="7">
                    <c:v>v2</c:v>
                  </c:pt>
                  <c:pt idx="8">
                    <c:v>v3</c:v>
                  </c:pt>
                  <c:pt idx="9">
                    <c:v>v1</c:v>
                  </c:pt>
                  <c:pt idx="10">
                    <c:v>v2</c:v>
                  </c:pt>
                  <c:pt idx="11">
                    <c:v>v3</c:v>
                  </c:pt>
                  <c:pt idx="12">
                    <c:v>v1</c:v>
                  </c:pt>
                  <c:pt idx="13">
                    <c:v>v2</c:v>
                  </c:pt>
                  <c:pt idx="14">
                    <c:v>v3</c:v>
                  </c:pt>
                  <c:pt idx="15">
                    <c:v>v1</c:v>
                  </c:pt>
                  <c:pt idx="16">
                    <c:v>v2</c:v>
                  </c:pt>
                  <c:pt idx="17">
                    <c:v>v3</c:v>
                  </c:pt>
                </c:lvl>
                <c:lvl>
                  <c:pt idx="0">
                    <c:v>llama3</c:v>
                  </c:pt>
                  <c:pt idx="3">
                    <c:v>gemma</c:v>
                  </c:pt>
                  <c:pt idx="6">
                    <c:v>mistral</c:v>
                  </c:pt>
                  <c:pt idx="9">
                    <c:v>llama3</c:v>
                  </c:pt>
                  <c:pt idx="12">
                    <c:v>gemma</c:v>
                  </c:pt>
                  <c:pt idx="15">
                    <c:v>mistral</c:v>
                  </c:pt>
                </c:lvl>
                <c:lvl>
                  <c:pt idx="0">
                    <c:v>Wikipedia</c:v>
                  </c:pt>
                  <c:pt idx="9">
                    <c:v>Pubmed</c:v>
                  </c:pt>
                </c:lvl>
              </c:multiLvlStrCache>
            </c:multiLvlStrRef>
          </c:cat>
          <c:val>
            <c:numRef>
              <c:f>Gráficas!$D$4:$D$21</c:f>
              <c:numCache>
                <c:formatCode>0.0</c:formatCode>
                <c:ptCount val="18"/>
                <c:pt idx="0">
                  <c:v>48.11</c:v>
                </c:pt>
                <c:pt idx="1">
                  <c:v>46.78</c:v>
                </c:pt>
                <c:pt idx="2">
                  <c:v>48.33</c:v>
                </c:pt>
                <c:pt idx="3">
                  <c:v>37.22</c:v>
                </c:pt>
                <c:pt idx="4">
                  <c:v>36.78</c:v>
                </c:pt>
                <c:pt idx="5">
                  <c:v>38.44</c:v>
                </c:pt>
                <c:pt idx="6">
                  <c:v>36.67</c:v>
                </c:pt>
                <c:pt idx="7">
                  <c:v>42.22</c:v>
                </c:pt>
                <c:pt idx="8">
                  <c:v>42.78</c:v>
                </c:pt>
                <c:pt idx="9">
                  <c:v>45.44</c:v>
                </c:pt>
                <c:pt idx="10">
                  <c:v>47.67</c:v>
                </c:pt>
                <c:pt idx="11">
                  <c:v>47.44</c:v>
                </c:pt>
                <c:pt idx="12">
                  <c:v>39.67</c:v>
                </c:pt>
                <c:pt idx="13">
                  <c:v>44.89</c:v>
                </c:pt>
                <c:pt idx="14">
                  <c:v>40.11</c:v>
                </c:pt>
                <c:pt idx="15">
                  <c:v>32</c:v>
                </c:pt>
                <c:pt idx="16">
                  <c:v>40.33</c:v>
                </c:pt>
                <c:pt idx="17">
                  <c:v>44.56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61A-4953-B108-A65AE079DD80}"/>
            </c:ext>
          </c:extLst>
        </c:ser>
        <c:ser>
          <c:idx val="1"/>
          <c:order val="1"/>
          <c:tx>
            <c:strRef>
              <c:f>Gráficas!$E$2:$E$3</c:f>
              <c:strCache>
                <c:ptCount val="2"/>
                <c:pt idx="0">
                  <c:v>Con Wikipedia/ Pubmed</c:v>
                </c:pt>
                <c:pt idx="1">
                  <c:v>Accuracy (%)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Gráficas!$A$4:$C$21</c:f>
              <c:multiLvlStrCache>
                <c:ptCount val="18"/>
                <c:lvl>
                  <c:pt idx="0">
                    <c:v>v1</c:v>
                  </c:pt>
                  <c:pt idx="1">
                    <c:v>v2</c:v>
                  </c:pt>
                  <c:pt idx="2">
                    <c:v>v3</c:v>
                  </c:pt>
                  <c:pt idx="3">
                    <c:v>v1</c:v>
                  </c:pt>
                  <c:pt idx="4">
                    <c:v>v2</c:v>
                  </c:pt>
                  <c:pt idx="5">
                    <c:v>v3</c:v>
                  </c:pt>
                  <c:pt idx="6">
                    <c:v>v1</c:v>
                  </c:pt>
                  <c:pt idx="7">
                    <c:v>v2</c:v>
                  </c:pt>
                  <c:pt idx="8">
                    <c:v>v3</c:v>
                  </c:pt>
                  <c:pt idx="9">
                    <c:v>v1</c:v>
                  </c:pt>
                  <c:pt idx="10">
                    <c:v>v2</c:v>
                  </c:pt>
                  <c:pt idx="11">
                    <c:v>v3</c:v>
                  </c:pt>
                  <c:pt idx="12">
                    <c:v>v1</c:v>
                  </c:pt>
                  <c:pt idx="13">
                    <c:v>v2</c:v>
                  </c:pt>
                  <c:pt idx="14">
                    <c:v>v3</c:v>
                  </c:pt>
                  <c:pt idx="15">
                    <c:v>v1</c:v>
                  </c:pt>
                  <c:pt idx="16">
                    <c:v>v2</c:v>
                  </c:pt>
                  <c:pt idx="17">
                    <c:v>v3</c:v>
                  </c:pt>
                </c:lvl>
                <c:lvl>
                  <c:pt idx="0">
                    <c:v>llama3</c:v>
                  </c:pt>
                  <c:pt idx="3">
                    <c:v>gemma</c:v>
                  </c:pt>
                  <c:pt idx="6">
                    <c:v>mistral</c:v>
                  </c:pt>
                  <c:pt idx="9">
                    <c:v>llama3</c:v>
                  </c:pt>
                  <c:pt idx="12">
                    <c:v>gemma</c:v>
                  </c:pt>
                  <c:pt idx="15">
                    <c:v>mistral</c:v>
                  </c:pt>
                </c:lvl>
                <c:lvl>
                  <c:pt idx="0">
                    <c:v>Wikipedia</c:v>
                  </c:pt>
                  <c:pt idx="9">
                    <c:v>Pubmed</c:v>
                  </c:pt>
                </c:lvl>
              </c:multiLvlStrCache>
            </c:multiLvlStrRef>
          </c:cat>
          <c:val>
            <c:numRef>
              <c:f>Gráficas!$E$4:$E$21</c:f>
              <c:numCache>
                <c:formatCode>0.0</c:formatCode>
                <c:ptCount val="18"/>
                <c:pt idx="0">
                  <c:v>47.35</c:v>
                </c:pt>
                <c:pt idx="1">
                  <c:v>46.77</c:v>
                </c:pt>
                <c:pt idx="2">
                  <c:v>48.47</c:v>
                </c:pt>
                <c:pt idx="3">
                  <c:v>37.909999999999997</c:v>
                </c:pt>
                <c:pt idx="4">
                  <c:v>37.15</c:v>
                </c:pt>
                <c:pt idx="5">
                  <c:v>38.729999999999997</c:v>
                </c:pt>
                <c:pt idx="6">
                  <c:v>37.909999999999997</c:v>
                </c:pt>
                <c:pt idx="7">
                  <c:v>42.13</c:v>
                </c:pt>
                <c:pt idx="8">
                  <c:v>42.58</c:v>
                </c:pt>
                <c:pt idx="9">
                  <c:v>45.56</c:v>
                </c:pt>
                <c:pt idx="10">
                  <c:v>48.04</c:v>
                </c:pt>
                <c:pt idx="11">
                  <c:v>46.02</c:v>
                </c:pt>
                <c:pt idx="12">
                  <c:v>42.5</c:v>
                </c:pt>
                <c:pt idx="13">
                  <c:v>42.5</c:v>
                </c:pt>
                <c:pt idx="14">
                  <c:v>41.5</c:v>
                </c:pt>
                <c:pt idx="15">
                  <c:v>28.89</c:v>
                </c:pt>
                <c:pt idx="16">
                  <c:v>46.11</c:v>
                </c:pt>
                <c:pt idx="17">
                  <c:v>47.08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61A-4953-B108-A65AE079DD80}"/>
            </c:ext>
          </c:extLst>
        </c:ser>
        <c:ser>
          <c:idx val="2"/>
          <c:order val="2"/>
          <c:tx>
            <c:strRef>
              <c:f>Gráficas!$F$2:$F$3</c:f>
              <c:strCache>
                <c:ptCount val="2"/>
                <c:pt idx="0">
                  <c:v>Sin Wikipedia/ Pubmed</c:v>
                </c:pt>
                <c:pt idx="1">
                  <c:v>Accuracy (%)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Gráficas!$A$4:$C$21</c:f>
              <c:multiLvlStrCache>
                <c:ptCount val="18"/>
                <c:lvl>
                  <c:pt idx="0">
                    <c:v>v1</c:v>
                  </c:pt>
                  <c:pt idx="1">
                    <c:v>v2</c:v>
                  </c:pt>
                  <c:pt idx="2">
                    <c:v>v3</c:v>
                  </c:pt>
                  <c:pt idx="3">
                    <c:v>v1</c:v>
                  </c:pt>
                  <c:pt idx="4">
                    <c:v>v2</c:v>
                  </c:pt>
                  <c:pt idx="5">
                    <c:v>v3</c:v>
                  </c:pt>
                  <c:pt idx="6">
                    <c:v>v1</c:v>
                  </c:pt>
                  <c:pt idx="7">
                    <c:v>v2</c:v>
                  </c:pt>
                  <c:pt idx="8">
                    <c:v>v3</c:v>
                  </c:pt>
                  <c:pt idx="9">
                    <c:v>v1</c:v>
                  </c:pt>
                  <c:pt idx="10">
                    <c:v>v2</c:v>
                  </c:pt>
                  <c:pt idx="11">
                    <c:v>v3</c:v>
                  </c:pt>
                  <c:pt idx="12">
                    <c:v>v1</c:v>
                  </c:pt>
                  <c:pt idx="13">
                    <c:v>v2</c:v>
                  </c:pt>
                  <c:pt idx="14">
                    <c:v>v3</c:v>
                  </c:pt>
                  <c:pt idx="15">
                    <c:v>v1</c:v>
                  </c:pt>
                  <c:pt idx="16">
                    <c:v>v2</c:v>
                  </c:pt>
                  <c:pt idx="17">
                    <c:v>v3</c:v>
                  </c:pt>
                </c:lvl>
                <c:lvl>
                  <c:pt idx="0">
                    <c:v>llama3</c:v>
                  </c:pt>
                  <c:pt idx="3">
                    <c:v>gemma</c:v>
                  </c:pt>
                  <c:pt idx="6">
                    <c:v>mistral</c:v>
                  </c:pt>
                  <c:pt idx="9">
                    <c:v>llama3</c:v>
                  </c:pt>
                  <c:pt idx="12">
                    <c:v>gemma</c:v>
                  </c:pt>
                  <c:pt idx="15">
                    <c:v>mistral</c:v>
                  </c:pt>
                </c:lvl>
                <c:lvl>
                  <c:pt idx="0">
                    <c:v>Wikipedia</c:v>
                  </c:pt>
                  <c:pt idx="9">
                    <c:v>Pubmed</c:v>
                  </c:pt>
                </c:lvl>
              </c:multiLvlStrCache>
            </c:multiLvlStrRef>
          </c:cat>
          <c:val>
            <c:numRef>
              <c:f>Gráficas!$F$4:$F$21</c:f>
              <c:numCache>
                <c:formatCode>0.0</c:formatCode>
                <c:ptCount val="18"/>
                <c:pt idx="0">
                  <c:v>50.75</c:v>
                </c:pt>
                <c:pt idx="1">
                  <c:v>47.06</c:v>
                </c:pt>
                <c:pt idx="2">
                  <c:v>41.18</c:v>
                </c:pt>
                <c:pt idx="3">
                  <c:v>34.83</c:v>
                </c:pt>
                <c:pt idx="4">
                  <c:v>17.649999999999999</c:v>
                </c:pt>
                <c:pt idx="5">
                  <c:v>23.53</c:v>
                </c:pt>
                <c:pt idx="6">
                  <c:v>41.79</c:v>
                </c:pt>
                <c:pt idx="7">
                  <c:v>47.06</c:v>
                </c:pt>
                <c:pt idx="8">
                  <c:v>52.94</c:v>
                </c:pt>
                <c:pt idx="9">
                  <c:v>45.37</c:v>
                </c:pt>
                <c:pt idx="10">
                  <c:v>47.42</c:v>
                </c:pt>
                <c:pt idx="11">
                  <c:v>48.36</c:v>
                </c:pt>
                <c:pt idx="12">
                  <c:v>37.78</c:v>
                </c:pt>
                <c:pt idx="13">
                  <c:v>38.89</c:v>
                </c:pt>
                <c:pt idx="14">
                  <c:v>39.19</c:v>
                </c:pt>
                <c:pt idx="15">
                  <c:v>34.07</c:v>
                </c:pt>
                <c:pt idx="16">
                  <c:v>44.07</c:v>
                </c:pt>
                <c:pt idx="17">
                  <c:v>42.88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61A-4953-B108-A65AE079DD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25944495"/>
        <c:axId val="1125957455"/>
      </c:barChart>
      <c:catAx>
        <c:axId val="112594449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/>
                  <a:t>Source / Model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125957455"/>
        <c:crosses val="autoZero"/>
        <c:auto val="1"/>
        <c:lblAlgn val="ctr"/>
        <c:lblOffset val="100"/>
        <c:noMultiLvlLbl val="0"/>
      </c:catAx>
      <c:valAx>
        <c:axId val="11259574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/>
                  <a:t>Accuracy</a:t>
                </a:r>
                <a:r>
                  <a:rPr lang="es-ES" baseline="0"/>
                  <a:t> (%)</a:t>
                </a:r>
                <a:endParaRPr lang="es-E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1259444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Average model accuracy across RAG versions and knowledge sources</a:t>
            </a:r>
            <a:endParaRPr lang="es-ES"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Gráficas!$D$24:$D$25</c:f>
              <c:strCache>
                <c:ptCount val="2"/>
                <c:pt idx="0">
                  <c:v>Global</c:v>
                </c:pt>
                <c:pt idx="1">
                  <c:v>Accuracy (%)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Gráficas!$B$26:$C$31</c:f>
              <c:multiLvlStrCache>
                <c:ptCount val="6"/>
                <c:lvl>
                  <c:pt idx="0">
                    <c:v>v1</c:v>
                  </c:pt>
                  <c:pt idx="1">
                    <c:v>v2</c:v>
                  </c:pt>
                  <c:pt idx="2">
                    <c:v>v3</c:v>
                  </c:pt>
                  <c:pt idx="3">
                    <c:v>v1</c:v>
                  </c:pt>
                  <c:pt idx="4">
                    <c:v>v2</c:v>
                  </c:pt>
                  <c:pt idx="5">
                    <c:v>v3</c:v>
                  </c:pt>
                </c:lvl>
                <c:lvl>
                  <c:pt idx="0">
                    <c:v>Wikipedia</c:v>
                  </c:pt>
                  <c:pt idx="3">
                    <c:v>Pubmed</c:v>
                  </c:pt>
                </c:lvl>
              </c:multiLvlStrCache>
            </c:multiLvlStrRef>
          </c:cat>
          <c:val>
            <c:numRef>
              <c:f>Gráficas!$D$26:$D$31</c:f>
              <c:numCache>
                <c:formatCode>0.0</c:formatCode>
                <c:ptCount val="6"/>
                <c:pt idx="0">
                  <c:v>40.666666666666664</c:v>
                </c:pt>
                <c:pt idx="1">
                  <c:v>41.926666666666669</c:v>
                </c:pt>
                <c:pt idx="2">
                  <c:v>43.183333333333337</c:v>
                </c:pt>
                <c:pt idx="3">
                  <c:v>39.036666666666669</c:v>
                </c:pt>
                <c:pt idx="4">
                  <c:v>44.29666666666666</c:v>
                </c:pt>
                <c:pt idx="5">
                  <c:v>44.036666666666669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E3E-4BD4-B930-395EB2F2CECB}"/>
            </c:ext>
          </c:extLst>
        </c:ser>
        <c:ser>
          <c:idx val="1"/>
          <c:order val="1"/>
          <c:tx>
            <c:strRef>
              <c:f>Gráficas!$E$24:$E$25</c:f>
              <c:strCache>
                <c:ptCount val="2"/>
                <c:pt idx="0">
                  <c:v>Con Wikipedia/ Pubmed</c:v>
                </c:pt>
                <c:pt idx="1">
                  <c:v>Accuracy (%)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Gráficas!$B$26:$C$31</c:f>
              <c:multiLvlStrCache>
                <c:ptCount val="6"/>
                <c:lvl>
                  <c:pt idx="0">
                    <c:v>v1</c:v>
                  </c:pt>
                  <c:pt idx="1">
                    <c:v>v2</c:v>
                  </c:pt>
                  <c:pt idx="2">
                    <c:v>v3</c:v>
                  </c:pt>
                  <c:pt idx="3">
                    <c:v>v1</c:v>
                  </c:pt>
                  <c:pt idx="4">
                    <c:v>v2</c:v>
                  </c:pt>
                  <c:pt idx="5">
                    <c:v>v3</c:v>
                  </c:pt>
                </c:lvl>
                <c:lvl>
                  <c:pt idx="0">
                    <c:v>Wikipedia</c:v>
                  </c:pt>
                  <c:pt idx="3">
                    <c:v>Pubmed</c:v>
                  </c:pt>
                </c:lvl>
              </c:multiLvlStrCache>
            </c:multiLvlStrRef>
          </c:cat>
          <c:val>
            <c:numRef>
              <c:f>Gráficas!$E$26:$E$31</c:f>
              <c:numCache>
                <c:formatCode>0.0</c:formatCode>
                <c:ptCount val="6"/>
                <c:pt idx="0">
                  <c:v>41.056666666666665</c:v>
                </c:pt>
                <c:pt idx="1">
                  <c:v>42.016666666666673</c:v>
                </c:pt>
                <c:pt idx="2">
                  <c:v>43.259999999999991</c:v>
                </c:pt>
                <c:pt idx="3">
                  <c:v>38.983333333333334</c:v>
                </c:pt>
                <c:pt idx="4">
                  <c:v>45.54999999999999</c:v>
                </c:pt>
                <c:pt idx="5">
                  <c:v>44.866666666666674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E3E-4BD4-B930-395EB2F2CECB}"/>
            </c:ext>
          </c:extLst>
        </c:ser>
        <c:ser>
          <c:idx val="2"/>
          <c:order val="2"/>
          <c:tx>
            <c:strRef>
              <c:f>Gráficas!$F$24:$F$25</c:f>
              <c:strCache>
                <c:ptCount val="2"/>
                <c:pt idx="0">
                  <c:v>Sin Wikipedia/ Pubmed</c:v>
                </c:pt>
                <c:pt idx="1">
                  <c:v>Accuracy (%)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Gráficas!$B$26:$C$31</c:f>
              <c:multiLvlStrCache>
                <c:ptCount val="6"/>
                <c:lvl>
                  <c:pt idx="0">
                    <c:v>v1</c:v>
                  </c:pt>
                  <c:pt idx="1">
                    <c:v>v2</c:v>
                  </c:pt>
                  <c:pt idx="2">
                    <c:v>v3</c:v>
                  </c:pt>
                  <c:pt idx="3">
                    <c:v>v1</c:v>
                  </c:pt>
                  <c:pt idx="4">
                    <c:v>v2</c:v>
                  </c:pt>
                  <c:pt idx="5">
                    <c:v>v3</c:v>
                  </c:pt>
                </c:lvl>
                <c:lvl>
                  <c:pt idx="0">
                    <c:v>Wikipedia</c:v>
                  </c:pt>
                  <c:pt idx="3">
                    <c:v>Pubmed</c:v>
                  </c:pt>
                </c:lvl>
              </c:multiLvlStrCache>
            </c:multiLvlStrRef>
          </c:cat>
          <c:val>
            <c:numRef>
              <c:f>Gráficas!$F$26:$F$31</c:f>
              <c:numCache>
                <c:formatCode>0.0</c:formatCode>
                <c:ptCount val="6"/>
                <c:pt idx="0">
                  <c:v>42.456666666666671</c:v>
                </c:pt>
                <c:pt idx="1">
                  <c:v>37.256666666666668</c:v>
                </c:pt>
                <c:pt idx="2">
                  <c:v>39.216666666666669</c:v>
                </c:pt>
                <c:pt idx="3">
                  <c:v>39.073333333333331</c:v>
                </c:pt>
                <c:pt idx="4">
                  <c:v>43.46</c:v>
                </c:pt>
                <c:pt idx="5">
                  <c:v>43.476666666666667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E3E-4BD4-B930-395EB2F2CE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43583968"/>
        <c:axId val="1043584928"/>
      </c:barChart>
      <c:catAx>
        <c:axId val="104358396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/>
                  <a:t>Source / Model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043584928"/>
        <c:crosses val="autoZero"/>
        <c:auto val="1"/>
        <c:lblAlgn val="ctr"/>
        <c:lblOffset val="100"/>
        <c:noMultiLvlLbl val="0"/>
      </c:catAx>
      <c:valAx>
        <c:axId val="1043584928"/>
        <c:scaling>
          <c:orientation val="minMax"/>
          <c:max val="6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/>
                  <a:t>Accuracy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043583968"/>
        <c:crosses val="autoZero"/>
        <c:crossBetween val="between"/>
        <c:majorUnit val="5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Average model accuracy across prompt test, RAG versions, models and knowledge sources</a:t>
            </a:r>
            <a:endParaRPr lang="es-ES"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Comparativa!$D$2</c:f>
              <c:strCache>
                <c:ptCount val="1"/>
                <c:pt idx="0">
                  <c:v>llama3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Comparativa!$B$3:$C$11</c:f>
              <c:multiLvlStrCache>
                <c:ptCount val="9"/>
                <c:lvl>
                  <c:pt idx="3">
                    <c:v>v1</c:v>
                  </c:pt>
                  <c:pt idx="4">
                    <c:v>v2</c:v>
                  </c:pt>
                  <c:pt idx="5">
                    <c:v>v3</c:v>
                  </c:pt>
                  <c:pt idx="6">
                    <c:v>v1</c:v>
                  </c:pt>
                  <c:pt idx="7">
                    <c:v>v2</c:v>
                  </c:pt>
                  <c:pt idx="8">
                    <c:v>v3</c:v>
                  </c:pt>
                </c:lvl>
                <c:lvl>
                  <c:pt idx="0">
                    <c:v>No Prompt</c:v>
                  </c:pt>
                  <c:pt idx="1">
                    <c:v>Prompt ES</c:v>
                  </c:pt>
                  <c:pt idx="2">
                    <c:v>Prompt EN</c:v>
                  </c:pt>
                  <c:pt idx="3">
                    <c:v>Wikipedia</c:v>
                  </c:pt>
                  <c:pt idx="6">
                    <c:v>Pubmed</c:v>
                  </c:pt>
                </c:lvl>
              </c:multiLvlStrCache>
            </c:multiLvlStrRef>
          </c:cat>
          <c:val>
            <c:numRef>
              <c:f>Comparativa!$D$3:$D$11</c:f>
              <c:numCache>
                <c:formatCode>0.00</c:formatCode>
                <c:ptCount val="9"/>
                <c:pt idx="0" formatCode="General">
                  <c:v>45.72</c:v>
                </c:pt>
                <c:pt idx="1">
                  <c:v>47.8</c:v>
                </c:pt>
                <c:pt idx="2" formatCode="General">
                  <c:v>48.37</c:v>
                </c:pt>
                <c:pt idx="3" formatCode="General">
                  <c:v>48.11</c:v>
                </c:pt>
                <c:pt idx="4" formatCode="General">
                  <c:v>46.78</c:v>
                </c:pt>
                <c:pt idx="5" formatCode="General">
                  <c:v>48.33</c:v>
                </c:pt>
                <c:pt idx="6" formatCode="General">
                  <c:v>45.44</c:v>
                </c:pt>
                <c:pt idx="7" formatCode="General">
                  <c:v>47.67</c:v>
                </c:pt>
                <c:pt idx="8" formatCode="General">
                  <c:v>47.44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8CA-4493-9207-A5890E7005BE}"/>
            </c:ext>
          </c:extLst>
        </c:ser>
        <c:ser>
          <c:idx val="1"/>
          <c:order val="1"/>
          <c:tx>
            <c:strRef>
              <c:f>Comparativa!$E$2</c:f>
              <c:strCache>
                <c:ptCount val="1"/>
                <c:pt idx="0">
                  <c:v>gemma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Comparativa!$B$3:$C$11</c:f>
              <c:multiLvlStrCache>
                <c:ptCount val="9"/>
                <c:lvl>
                  <c:pt idx="3">
                    <c:v>v1</c:v>
                  </c:pt>
                  <c:pt idx="4">
                    <c:v>v2</c:v>
                  </c:pt>
                  <c:pt idx="5">
                    <c:v>v3</c:v>
                  </c:pt>
                  <c:pt idx="6">
                    <c:v>v1</c:v>
                  </c:pt>
                  <c:pt idx="7">
                    <c:v>v2</c:v>
                  </c:pt>
                  <c:pt idx="8">
                    <c:v>v3</c:v>
                  </c:pt>
                </c:lvl>
                <c:lvl>
                  <c:pt idx="0">
                    <c:v>No Prompt</c:v>
                  </c:pt>
                  <c:pt idx="1">
                    <c:v>Prompt ES</c:v>
                  </c:pt>
                  <c:pt idx="2">
                    <c:v>Prompt EN</c:v>
                  </c:pt>
                  <c:pt idx="3">
                    <c:v>Wikipedia</c:v>
                  </c:pt>
                  <c:pt idx="6">
                    <c:v>Pubmed</c:v>
                  </c:pt>
                </c:lvl>
              </c:multiLvlStrCache>
            </c:multiLvlStrRef>
          </c:cat>
          <c:val>
            <c:numRef>
              <c:f>Comparativa!$E$3:$E$11</c:f>
              <c:numCache>
                <c:formatCode>General</c:formatCode>
                <c:ptCount val="9"/>
                <c:pt idx="0">
                  <c:v>43.22</c:v>
                </c:pt>
                <c:pt idx="1">
                  <c:v>43.52</c:v>
                </c:pt>
                <c:pt idx="2">
                  <c:v>43.8</c:v>
                </c:pt>
                <c:pt idx="3">
                  <c:v>48.33</c:v>
                </c:pt>
                <c:pt idx="4">
                  <c:v>36.78</c:v>
                </c:pt>
                <c:pt idx="5">
                  <c:v>38.44</c:v>
                </c:pt>
                <c:pt idx="6">
                  <c:v>39.67</c:v>
                </c:pt>
                <c:pt idx="7">
                  <c:v>44.89</c:v>
                </c:pt>
                <c:pt idx="8">
                  <c:v>40.11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8CA-4493-9207-A5890E7005BE}"/>
            </c:ext>
          </c:extLst>
        </c:ser>
        <c:ser>
          <c:idx val="2"/>
          <c:order val="2"/>
          <c:tx>
            <c:strRef>
              <c:f>Comparativa!$F$2</c:f>
              <c:strCache>
                <c:ptCount val="1"/>
                <c:pt idx="0">
                  <c:v>mistral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Comparativa!$B$3:$C$11</c:f>
              <c:multiLvlStrCache>
                <c:ptCount val="9"/>
                <c:lvl>
                  <c:pt idx="3">
                    <c:v>v1</c:v>
                  </c:pt>
                  <c:pt idx="4">
                    <c:v>v2</c:v>
                  </c:pt>
                  <c:pt idx="5">
                    <c:v>v3</c:v>
                  </c:pt>
                  <c:pt idx="6">
                    <c:v>v1</c:v>
                  </c:pt>
                  <c:pt idx="7">
                    <c:v>v2</c:v>
                  </c:pt>
                  <c:pt idx="8">
                    <c:v>v3</c:v>
                  </c:pt>
                </c:lvl>
                <c:lvl>
                  <c:pt idx="0">
                    <c:v>No Prompt</c:v>
                  </c:pt>
                  <c:pt idx="1">
                    <c:v>Prompt ES</c:v>
                  </c:pt>
                  <c:pt idx="2">
                    <c:v>Prompt EN</c:v>
                  </c:pt>
                  <c:pt idx="3">
                    <c:v>Wikipedia</c:v>
                  </c:pt>
                  <c:pt idx="6">
                    <c:v>Pubmed</c:v>
                  </c:pt>
                </c:lvl>
              </c:multiLvlStrCache>
            </c:multiLvlStrRef>
          </c:cat>
          <c:val>
            <c:numRef>
              <c:f>Comparativa!$F$3:$F$11</c:f>
              <c:numCache>
                <c:formatCode>General</c:formatCode>
                <c:ptCount val="9"/>
                <c:pt idx="0">
                  <c:v>35.729999999999997</c:v>
                </c:pt>
                <c:pt idx="1">
                  <c:v>44.08</c:v>
                </c:pt>
                <c:pt idx="2">
                  <c:v>43.92</c:v>
                </c:pt>
                <c:pt idx="3">
                  <c:v>36.67</c:v>
                </c:pt>
                <c:pt idx="4">
                  <c:v>42.22</c:v>
                </c:pt>
                <c:pt idx="5">
                  <c:v>42.78</c:v>
                </c:pt>
                <c:pt idx="6" formatCode="0.00">
                  <c:v>32</c:v>
                </c:pt>
                <c:pt idx="7">
                  <c:v>40.33</c:v>
                </c:pt>
                <c:pt idx="8">
                  <c:v>44.56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8CA-4493-9207-A5890E7005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87539328"/>
        <c:axId val="1287544128"/>
      </c:barChart>
      <c:catAx>
        <c:axId val="128753932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/>
                  <a:t>Source / Test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287544128"/>
        <c:crosses val="autoZero"/>
        <c:auto val="1"/>
        <c:lblAlgn val="ctr"/>
        <c:lblOffset val="100"/>
        <c:noMultiLvlLbl val="0"/>
      </c:catAx>
      <c:valAx>
        <c:axId val="1287544128"/>
        <c:scaling>
          <c:orientation val="minMax"/>
          <c:max val="6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/>
                  <a:t>Accuracy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287539328"/>
        <c:crosses val="autoZero"/>
        <c:crossBetween val="between"/>
        <c:majorUnit val="5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'Comparativa idioma'!$D$1:$D$2</c:f>
              <c:strCache>
                <c:ptCount val="2"/>
                <c:pt idx="0">
                  <c:v>PRUEBA - ES</c:v>
                </c:pt>
                <c:pt idx="1">
                  <c:v>Accuracy (%)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'Comparativa idioma'!$A$3:$C$26</c:f>
              <c:multiLvlStrCache>
                <c:ptCount val="24"/>
                <c:lvl>
                  <c:pt idx="0">
                    <c:v>v1</c:v>
                  </c:pt>
                  <c:pt idx="1">
                    <c:v>v2</c:v>
                  </c:pt>
                  <c:pt idx="2">
                    <c:v>v3</c:v>
                  </c:pt>
                  <c:pt idx="3">
                    <c:v>final</c:v>
                  </c:pt>
                  <c:pt idx="4">
                    <c:v>v1</c:v>
                  </c:pt>
                  <c:pt idx="5">
                    <c:v>v2</c:v>
                  </c:pt>
                  <c:pt idx="6">
                    <c:v>v3</c:v>
                  </c:pt>
                  <c:pt idx="7">
                    <c:v>final</c:v>
                  </c:pt>
                  <c:pt idx="8">
                    <c:v>v1</c:v>
                  </c:pt>
                  <c:pt idx="9">
                    <c:v>v2</c:v>
                  </c:pt>
                  <c:pt idx="10">
                    <c:v>v3</c:v>
                  </c:pt>
                  <c:pt idx="11">
                    <c:v>final</c:v>
                  </c:pt>
                  <c:pt idx="12">
                    <c:v>v1</c:v>
                  </c:pt>
                  <c:pt idx="13">
                    <c:v>v2</c:v>
                  </c:pt>
                  <c:pt idx="14">
                    <c:v>v3</c:v>
                  </c:pt>
                  <c:pt idx="15">
                    <c:v>final</c:v>
                  </c:pt>
                  <c:pt idx="16">
                    <c:v>v1</c:v>
                  </c:pt>
                  <c:pt idx="17">
                    <c:v>v2</c:v>
                  </c:pt>
                  <c:pt idx="18">
                    <c:v>v3</c:v>
                  </c:pt>
                  <c:pt idx="19">
                    <c:v>final</c:v>
                  </c:pt>
                  <c:pt idx="20">
                    <c:v>v1</c:v>
                  </c:pt>
                  <c:pt idx="21">
                    <c:v>v2</c:v>
                  </c:pt>
                  <c:pt idx="22">
                    <c:v>v3</c:v>
                  </c:pt>
                  <c:pt idx="23">
                    <c:v>final</c:v>
                  </c:pt>
                </c:lvl>
                <c:lvl>
                  <c:pt idx="0">
                    <c:v>llama3</c:v>
                  </c:pt>
                  <c:pt idx="4">
                    <c:v>mistral</c:v>
                  </c:pt>
                  <c:pt idx="8">
                    <c:v>gemma</c:v>
                  </c:pt>
                  <c:pt idx="12">
                    <c:v>llama3</c:v>
                  </c:pt>
                  <c:pt idx="16">
                    <c:v>mistral</c:v>
                  </c:pt>
                  <c:pt idx="20">
                    <c:v>gemma</c:v>
                  </c:pt>
                </c:lvl>
                <c:lvl>
                  <c:pt idx="0">
                    <c:v>Wikipedia</c:v>
                  </c:pt>
                  <c:pt idx="12">
                    <c:v>Pubmed</c:v>
                  </c:pt>
                </c:lvl>
              </c:multiLvlStrCache>
            </c:multiLvlStrRef>
          </c:cat>
          <c:val>
            <c:numRef>
              <c:f>'Comparativa idioma'!$D$3:$D$26</c:f>
              <c:numCache>
                <c:formatCode>0.00</c:formatCode>
                <c:ptCount val="24"/>
                <c:pt idx="0">
                  <c:v>0</c:v>
                </c:pt>
                <c:pt idx="1">
                  <c:v>47.56</c:v>
                </c:pt>
                <c:pt idx="2">
                  <c:v>46.56</c:v>
                </c:pt>
                <c:pt idx="3">
                  <c:v>47.67</c:v>
                </c:pt>
                <c:pt idx="4">
                  <c:v>44.99</c:v>
                </c:pt>
                <c:pt idx="5">
                  <c:v>41.74</c:v>
                </c:pt>
                <c:pt idx="6">
                  <c:v>42.75</c:v>
                </c:pt>
                <c:pt idx="7">
                  <c:v>43.35</c:v>
                </c:pt>
                <c:pt idx="8">
                  <c:v>39.11</c:v>
                </c:pt>
                <c:pt idx="9">
                  <c:v>37.22</c:v>
                </c:pt>
                <c:pt idx="10">
                  <c:v>36.56</c:v>
                </c:pt>
                <c:pt idx="11">
                  <c:v>38.22</c:v>
                </c:pt>
                <c:pt idx="12">
                  <c:v>47.11</c:v>
                </c:pt>
                <c:pt idx="13">
                  <c:v>47.44</c:v>
                </c:pt>
                <c:pt idx="14">
                  <c:v>48</c:v>
                </c:pt>
                <c:pt idx="15">
                  <c:v>47.89</c:v>
                </c:pt>
                <c:pt idx="16">
                  <c:v>45.77</c:v>
                </c:pt>
                <c:pt idx="17">
                  <c:v>45.26</c:v>
                </c:pt>
                <c:pt idx="18">
                  <c:v>44.61</c:v>
                </c:pt>
                <c:pt idx="19">
                  <c:v>44.82</c:v>
                </c:pt>
                <c:pt idx="20">
                  <c:v>39.67</c:v>
                </c:pt>
                <c:pt idx="21">
                  <c:v>40</c:v>
                </c:pt>
                <c:pt idx="22">
                  <c:v>39.67</c:v>
                </c:pt>
                <c:pt idx="23">
                  <c:v>39.56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665-4947-B534-5E81D69C9098}"/>
            </c:ext>
          </c:extLst>
        </c:ser>
        <c:ser>
          <c:idx val="1"/>
          <c:order val="1"/>
          <c:tx>
            <c:strRef>
              <c:f>'Comparativa idioma'!$E$1:$E$2</c:f>
              <c:strCache>
                <c:ptCount val="2"/>
                <c:pt idx="0">
                  <c:v>PRUEBA - EN</c:v>
                </c:pt>
                <c:pt idx="1">
                  <c:v>Accuracy (%)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'Comparativa idioma'!$A$3:$C$26</c:f>
              <c:multiLvlStrCache>
                <c:ptCount val="24"/>
                <c:lvl>
                  <c:pt idx="0">
                    <c:v>v1</c:v>
                  </c:pt>
                  <c:pt idx="1">
                    <c:v>v2</c:v>
                  </c:pt>
                  <c:pt idx="2">
                    <c:v>v3</c:v>
                  </c:pt>
                  <c:pt idx="3">
                    <c:v>final</c:v>
                  </c:pt>
                  <c:pt idx="4">
                    <c:v>v1</c:v>
                  </c:pt>
                  <c:pt idx="5">
                    <c:v>v2</c:v>
                  </c:pt>
                  <c:pt idx="6">
                    <c:v>v3</c:v>
                  </c:pt>
                  <c:pt idx="7">
                    <c:v>final</c:v>
                  </c:pt>
                  <c:pt idx="8">
                    <c:v>v1</c:v>
                  </c:pt>
                  <c:pt idx="9">
                    <c:v>v2</c:v>
                  </c:pt>
                  <c:pt idx="10">
                    <c:v>v3</c:v>
                  </c:pt>
                  <c:pt idx="11">
                    <c:v>final</c:v>
                  </c:pt>
                  <c:pt idx="12">
                    <c:v>v1</c:v>
                  </c:pt>
                  <c:pt idx="13">
                    <c:v>v2</c:v>
                  </c:pt>
                  <c:pt idx="14">
                    <c:v>v3</c:v>
                  </c:pt>
                  <c:pt idx="15">
                    <c:v>final</c:v>
                  </c:pt>
                  <c:pt idx="16">
                    <c:v>v1</c:v>
                  </c:pt>
                  <c:pt idx="17">
                    <c:v>v2</c:v>
                  </c:pt>
                  <c:pt idx="18">
                    <c:v>v3</c:v>
                  </c:pt>
                  <c:pt idx="19">
                    <c:v>final</c:v>
                  </c:pt>
                  <c:pt idx="20">
                    <c:v>v1</c:v>
                  </c:pt>
                  <c:pt idx="21">
                    <c:v>v2</c:v>
                  </c:pt>
                  <c:pt idx="22">
                    <c:v>v3</c:v>
                  </c:pt>
                  <c:pt idx="23">
                    <c:v>final</c:v>
                  </c:pt>
                </c:lvl>
                <c:lvl>
                  <c:pt idx="0">
                    <c:v>llama3</c:v>
                  </c:pt>
                  <c:pt idx="4">
                    <c:v>mistral</c:v>
                  </c:pt>
                  <c:pt idx="8">
                    <c:v>gemma</c:v>
                  </c:pt>
                  <c:pt idx="12">
                    <c:v>llama3</c:v>
                  </c:pt>
                  <c:pt idx="16">
                    <c:v>mistral</c:v>
                  </c:pt>
                  <c:pt idx="20">
                    <c:v>gemma</c:v>
                  </c:pt>
                </c:lvl>
                <c:lvl>
                  <c:pt idx="0">
                    <c:v>Wikipedia</c:v>
                  </c:pt>
                  <c:pt idx="12">
                    <c:v>Pubmed</c:v>
                  </c:pt>
                </c:lvl>
              </c:multiLvlStrCache>
            </c:multiLvlStrRef>
          </c:cat>
          <c:val>
            <c:numRef>
              <c:f>'Comparativa idioma'!$E$3:$E$26</c:f>
              <c:numCache>
                <c:formatCode>0.00</c:formatCode>
                <c:ptCount val="24"/>
                <c:pt idx="0">
                  <c:v>45.67</c:v>
                </c:pt>
                <c:pt idx="1">
                  <c:v>44.72</c:v>
                </c:pt>
                <c:pt idx="2">
                  <c:v>42.94</c:v>
                </c:pt>
                <c:pt idx="3">
                  <c:v>45.61</c:v>
                </c:pt>
                <c:pt idx="4">
                  <c:v>43.99</c:v>
                </c:pt>
                <c:pt idx="5">
                  <c:v>44.41</c:v>
                </c:pt>
                <c:pt idx="6">
                  <c:v>43.7</c:v>
                </c:pt>
                <c:pt idx="7">
                  <c:v>45.16</c:v>
                </c:pt>
                <c:pt idx="8">
                  <c:v>38.979999999999997</c:v>
                </c:pt>
                <c:pt idx="9">
                  <c:v>37.26</c:v>
                </c:pt>
                <c:pt idx="10">
                  <c:v>37.49</c:v>
                </c:pt>
                <c:pt idx="11">
                  <c:v>40.270000000000003</c:v>
                </c:pt>
                <c:pt idx="12">
                  <c:v>46.67</c:v>
                </c:pt>
                <c:pt idx="13">
                  <c:v>46.11</c:v>
                </c:pt>
                <c:pt idx="14">
                  <c:v>46.67</c:v>
                </c:pt>
                <c:pt idx="15">
                  <c:v>47.78</c:v>
                </c:pt>
                <c:pt idx="16">
                  <c:v>44.74</c:v>
                </c:pt>
                <c:pt idx="17">
                  <c:v>46.88</c:v>
                </c:pt>
                <c:pt idx="18">
                  <c:v>44.53</c:v>
                </c:pt>
                <c:pt idx="19">
                  <c:v>45.27</c:v>
                </c:pt>
                <c:pt idx="20">
                  <c:v>40.33</c:v>
                </c:pt>
                <c:pt idx="21">
                  <c:v>39.67</c:v>
                </c:pt>
                <c:pt idx="22">
                  <c:v>39.56</c:v>
                </c:pt>
                <c:pt idx="23">
                  <c:v>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665-4947-B534-5E81D69C90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44108079"/>
        <c:axId val="1544102799"/>
      </c:barChart>
      <c:catAx>
        <c:axId val="15441080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544102799"/>
        <c:crosses val="autoZero"/>
        <c:auto val="1"/>
        <c:lblAlgn val="ctr"/>
        <c:lblOffset val="100"/>
        <c:noMultiLvlLbl val="0"/>
      </c:catAx>
      <c:valAx>
        <c:axId val="1544102799"/>
        <c:scaling>
          <c:orientation val="minMax"/>
          <c:max val="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544108079"/>
        <c:crosses val="autoZero"/>
        <c:crossBetween val="between"/>
        <c:minorUnit val="5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777240</xdr:colOff>
      <xdr:row>0</xdr:row>
      <xdr:rowOff>179070</xdr:rowOff>
    </xdr:from>
    <xdr:to>
      <xdr:col>15</xdr:col>
      <xdr:colOff>784860</xdr:colOff>
      <xdr:row>20</xdr:row>
      <xdr:rowOff>137160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AFEDBBC4-E993-2E4D-E27C-B6726DDD9CB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23</xdr:row>
      <xdr:rowOff>3810</xdr:rowOff>
    </xdr:from>
    <xdr:to>
      <xdr:col>14</xdr:col>
      <xdr:colOff>152400</xdr:colOff>
      <xdr:row>39</xdr:row>
      <xdr:rowOff>7620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D23139E4-ED7E-EF24-CCFB-4ED9A1C21E4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795865</xdr:colOff>
      <xdr:row>0</xdr:row>
      <xdr:rowOff>177799</xdr:rowOff>
    </xdr:from>
    <xdr:to>
      <xdr:col>16</xdr:col>
      <xdr:colOff>778933</xdr:colOff>
      <xdr:row>21</xdr:row>
      <xdr:rowOff>177800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32654F40-C37A-3BE7-CC94-3A4935EBD43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38100</xdr:colOff>
      <xdr:row>3</xdr:row>
      <xdr:rowOff>80010</xdr:rowOff>
    </xdr:from>
    <xdr:to>
      <xdr:col>14</xdr:col>
      <xdr:colOff>769620</xdr:colOff>
      <xdr:row>24</xdr:row>
      <xdr:rowOff>152400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CEC16ACA-2CDC-65DD-3DBB-EEB5CD83AAE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5B34D-25FB-47C2-86EC-2CCD4A5DCC04}">
  <dimension ref="A1:S23"/>
  <sheetViews>
    <sheetView workbookViewId="0">
      <selection activeCell="A2" sqref="A2:M21"/>
    </sheetView>
  </sheetViews>
  <sheetFormatPr baseColWidth="10" defaultRowHeight="14.4" x14ac:dyDescent="0.3"/>
  <cols>
    <col min="1" max="1" width="9.33203125" style="1" bestFit="1" customWidth="1"/>
    <col min="2" max="2" width="7" style="1" bestFit="1" customWidth="1"/>
    <col min="3" max="3" width="7.109375" style="1" bestFit="1" customWidth="1"/>
    <col min="4" max="7" width="9.88671875" style="1" customWidth="1"/>
    <col min="8" max="8" width="11.88671875" style="1" customWidth="1"/>
    <col min="9" max="12" width="9.88671875" style="1" customWidth="1"/>
    <col min="13" max="13" width="11.88671875" style="1" customWidth="1"/>
    <col min="14" max="17" width="9.88671875" style="1" customWidth="1"/>
    <col min="18" max="18" width="11.88671875" style="1" customWidth="1"/>
    <col min="19" max="16384" width="11.5546875" style="1"/>
  </cols>
  <sheetData>
    <row r="1" spans="1:19" customFormat="1" x14ac:dyDescent="0.3">
      <c r="A1" s="52" t="s">
        <v>25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  <c r="P1" s="52"/>
      <c r="Q1" s="52"/>
      <c r="R1" s="52"/>
    </row>
    <row r="2" spans="1:19" customFormat="1" x14ac:dyDescent="0.3">
      <c r="A2" s="57" t="s">
        <v>19</v>
      </c>
      <c r="B2" s="57" t="s">
        <v>20</v>
      </c>
      <c r="C2" s="57" t="s">
        <v>13</v>
      </c>
      <c r="D2" s="53" t="s">
        <v>16</v>
      </c>
      <c r="E2" s="53"/>
      <c r="F2" s="53"/>
      <c r="G2" s="53"/>
      <c r="H2" s="53"/>
      <c r="I2" s="54" t="s">
        <v>14</v>
      </c>
      <c r="J2" s="55"/>
      <c r="K2" s="55"/>
      <c r="L2" s="55"/>
      <c r="M2" s="56"/>
      <c r="N2" s="54" t="s">
        <v>17</v>
      </c>
      <c r="O2" s="55"/>
      <c r="P2" s="55"/>
      <c r="Q2" s="55"/>
      <c r="R2" s="56"/>
    </row>
    <row r="3" spans="1:19" s="4" customFormat="1" ht="28.8" x14ac:dyDescent="0.3">
      <c r="A3" s="57"/>
      <c r="B3" s="57"/>
      <c r="C3" s="57"/>
      <c r="D3" s="7" t="s">
        <v>6</v>
      </c>
      <c r="E3" s="7" t="s">
        <v>7</v>
      </c>
      <c r="F3" s="7" t="s">
        <v>8</v>
      </c>
      <c r="G3" s="7" t="s">
        <v>9</v>
      </c>
      <c r="H3" s="7" t="s">
        <v>12</v>
      </c>
      <c r="I3" s="6" t="s">
        <v>6</v>
      </c>
      <c r="J3" s="6" t="s">
        <v>7</v>
      </c>
      <c r="K3" s="6" t="s">
        <v>8</v>
      </c>
      <c r="L3" s="6" t="s">
        <v>9</v>
      </c>
      <c r="M3" s="6" t="s">
        <v>12</v>
      </c>
      <c r="N3" s="5" t="s">
        <v>6</v>
      </c>
      <c r="O3" s="5" t="s">
        <v>7</v>
      </c>
      <c r="P3" s="5" t="s">
        <v>8</v>
      </c>
      <c r="Q3" s="5" t="s">
        <v>9</v>
      </c>
      <c r="R3" s="5" t="s">
        <v>12</v>
      </c>
    </row>
    <row r="4" spans="1:19" x14ac:dyDescent="0.3">
      <c r="A4" s="51" t="s">
        <v>1</v>
      </c>
      <c r="B4" s="58" t="s">
        <v>0</v>
      </c>
      <c r="C4" s="3" t="s">
        <v>3</v>
      </c>
      <c r="D4" s="8">
        <v>900</v>
      </c>
      <c r="E4" s="8">
        <v>433</v>
      </c>
      <c r="F4" s="8">
        <v>465</v>
      </c>
      <c r="G4" s="8">
        <v>2</v>
      </c>
      <c r="H4" s="17">
        <v>48.11</v>
      </c>
      <c r="I4" s="9">
        <v>699</v>
      </c>
      <c r="J4" s="9">
        <v>331</v>
      </c>
      <c r="K4" s="9">
        <v>366</v>
      </c>
      <c r="L4" s="9">
        <v>2</v>
      </c>
      <c r="M4" s="19">
        <v>47.35</v>
      </c>
      <c r="N4" s="10">
        <v>201</v>
      </c>
      <c r="O4" s="10">
        <v>102</v>
      </c>
      <c r="P4" s="10">
        <v>99</v>
      </c>
      <c r="Q4" s="10">
        <v>0</v>
      </c>
      <c r="R4" s="21">
        <v>50.75</v>
      </c>
      <c r="S4" s="11"/>
    </row>
    <row r="5" spans="1:19" x14ac:dyDescent="0.3">
      <c r="A5" s="51"/>
      <c r="B5" s="58"/>
      <c r="C5" s="3" t="s">
        <v>4</v>
      </c>
      <c r="D5" s="8">
        <v>900</v>
      </c>
      <c r="E5" s="8">
        <v>421</v>
      </c>
      <c r="F5" s="8">
        <v>477</v>
      </c>
      <c r="G5" s="8">
        <v>2</v>
      </c>
      <c r="H5" s="17">
        <v>46.78</v>
      </c>
      <c r="I5" s="9">
        <v>883</v>
      </c>
      <c r="J5" s="9">
        <v>413</v>
      </c>
      <c r="K5" s="9">
        <v>468</v>
      </c>
      <c r="L5" s="9">
        <v>2</v>
      </c>
      <c r="M5" s="19">
        <v>46.77</v>
      </c>
      <c r="N5" s="10">
        <v>17</v>
      </c>
      <c r="O5" s="10">
        <v>8</v>
      </c>
      <c r="P5" s="10">
        <v>9</v>
      </c>
      <c r="Q5" s="10">
        <v>0</v>
      </c>
      <c r="R5" s="21">
        <v>47.06</v>
      </c>
      <c r="S5" s="11"/>
    </row>
    <row r="6" spans="1:19" x14ac:dyDescent="0.3">
      <c r="A6" s="51"/>
      <c r="B6" s="58"/>
      <c r="C6" s="3" t="s">
        <v>5</v>
      </c>
      <c r="D6" s="8">
        <v>900</v>
      </c>
      <c r="E6" s="8">
        <v>435</v>
      </c>
      <c r="F6" s="8">
        <v>465</v>
      </c>
      <c r="G6" s="8">
        <v>0</v>
      </c>
      <c r="H6" s="17">
        <v>48.33</v>
      </c>
      <c r="I6" s="9">
        <v>883</v>
      </c>
      <c r="J6" s="9">
        <v>428</v>
      </c>
      <c r="K6" s="9">
        <v>455</v>
      </c>
      <c r="L6" s="9">
        <v>0</v>
      </c>
      <c r="M6" s="19">
        <v>48.47</v>
      </c>
      <c r="N6" s="10">
        <v>17</v>
      </c>
      <c r="O6" s="10">
        <v>7</v>
      </c>
      <c r="P6" s="10">
        <v>10</v>
      </c>
      <c r="Q6" s="10">
        <v>0</v>
      </c>
      <c r="R6" s="21">
        <v>41.18</v>
      </c>
      <c r="S6" s="11"/>
    </row>
    <row r="7" spans="1:19" x14ac:dyDescent="0.3">
      <c r="A7" s="51"/>
      <c r="B7" s="58" t="s">
        <v>10</v>
      </c>
      <c r="C7" s="3" t="s">
        <v>3</v>
      </c>
      <c r="D7" s="3">
        <v>900</v>
      </c>
      <c r="E7" s="3">
        <v>335</v>
      </c>
      <c r="F7" s="3">
        <v>561</v>
      </c>
      <c r="G7" s="3">
        <v>4</v>
      </c>
      <c r="H7" s="18">
        <v>37.22</v>
      </c>
      <c r="I7" s="2">
        <v>699</v>
      </c>
      <c r="J7" s="2">
        <v>265</v>
      </c>
      <c r="K7" s="2">
        <v>431</v>
      </c>
      <c r="L7" s="2">
        <v>3</v>
      </c>
      <c r="M7" s="20">
        <v>37.909999999999997</v>
      </c>
      <c r="N7" s="2">
        <v>201</v>
      </c>
      <c r="O7" s="2">
        <v>70</v>
      </c>
      <c r="P7" s="2">
        <v>130</v>
      </c>
      <c r="Q7" s="2">
        <v>1</v>
      </c>
      <c r="R7" s="22">
        <v>34.83</v>
      </c>
      <c r="S7" s="11"/>
    </row>
    <row r="8" spans="1:19" x14ac:dyDescent="0.3">
      <c r="A8" s="51"/>
      <c r="B8" s="58"/>
      <c r="C8" s="3" t="s">
        <v>4</v>
      </c>
      <c r="D8" s="3">
        <v>900</v>
      </c>
      <c r="E8" s="3">
        <v>331</v>
      </c>
      <c r="F8" s="3">
        <v>566</v>
      </c>
      <c r="G8" s="3">
        <v>3</v>
      </c>
      <c r="H8" s="18">
        <v>36.78</v>
      </c>
      <c r="I8" s="2">
        <v>883</v>
      </c>
      <c r="J8" s="2">
        <v>328</v>
      </c>
      <c r="K8" s="2">
        <v>552</v>
      </c>
      <c r="L8" s="2">
        <v>3</v>
      </c>
      <c r="M8" s="20">
        <v>37.15</v>
      </c>
      <c r="N8" s="2">
        <v>17</v>
      </c>
      <c r="O8" s="2">
        <v>3</v>
      </c>
      <c r="P8" s="2">
        <v>14</v>
      </c>
      <c r="Q8" s="2">
        <v>0</v>
      </c>
      <c r="R8" s="22">
        <v>17.649999999999999</v>
      </c>
      <c r="S8" s="11"/>
    </row>
    <row r="9" spans="1:19" x14ac:dyDescent="0.3">
      <c r="A9" s="51"/>
      <c r="B9" s="58"/>
      <c r="C9" s="3" t="s">
        <v>5</v>
      </c>
      <c r="D9" s="3">
        <v>900</v>
      </c>
      <c r="E9" s="3">
        <v>346</v>
      </c>
      <c r="F9" s="3">
        <v>554</v>
      </c>
      <c r="G9" s="3">
        <v>0</v>
      </c>
      <c r="H9" s="18">
        <v>38.44</v>
      </c>
      <c r="I9" s="2">
        <v>883</v>
      </c>
      <c r="J9" s="2">
        <v>342</v>
      </c>
      <c r="K9" s="2">
        <v>541</v>
      </c>
      <c r="L9" s="2">
        <v>0</v>
      </c>
      <c r="M9" s="20">
        <v>38.729999999999997</v>
      </c>
      <c r="N9" s="2">
        <v>17</v>
      </c>
      <c r="O9" s="2">
        <v>4</v>
      </c>
      <c r="P9" s="2">
        <v>13</v>
      </c>
      <c r="Q9" s="2">
        <v>0</v>
      </c>
      <c r="R9" s="22">
        <v>23.53</v>
      </c>
      <c r="S9" s="11"/>
    </row>
    <row r="10" spans="1:19" x14ac:dyDescent="0.3">
      <c r="A10" s="51"/>
      <c r="B10" s="58" t="s">
        <v>11</v>
      </c>
      <c r="C10" s="3" t="s">
        <v>3</v>
      </c>
      <c r="D10" s="8">
        <v>900</v>
      </c>
      <c r="E10" s="8">
        <v>330</v>
      </c>
      <c r="F10" s="8">
        <v>465</v>
      </c>
      <c r="G10" s="8">
        <v>105</v>
      </c>
      <c r="H10" s="17">
        <v>36.67</v>
      </c>
      <c r="I10" s="9">
        <v>699</v>
      </c>
      <c r="J10" s="9">
        <v>265</v>
      </c>
      <c r="K10" s="9">
        <v>431</v>
      </c>
      <c r="L10" s="9">
        <v>3</v>
      </c>
      <c r="M10" s="19">
        <v>37.909999999999997</v>
      </c>
      <c r="N10" s="10">
        <v>201</v>
      </c>
      <c r="O10" s="10">
        <v>84</v>
      </c>
      <c r="P10" s="10">
        <v>95</v>
      </c>
      <c r="Q10" s="10">
        <v>22</v>
      </c>
      <c r="R10" s="21">
        <v>41.79</v>
      </c>
      <c r="S10" s="11"/>
    </row>
    <row r="11" spans="1:19" x14ac:dyDescent="0.3">
      <c r="A11" s="51"/>
      <c r="B11" s="58"/>
      <c r="C11" s="3" t="s">
        <v>4</v>
      </c>
      <c r="D11" s="8">
        <v>900</v>
      </c>
      <c r="E11" s="8">
        <v>380</v>
      </c>
      <c r="F11" s="8">
        <v>502</v>
      </c>
      <c r="G11" s="8">
        <v>18</v>
      </c>
      <c r="H11" s="17">
        <v>42.22</v>
      </c>
      <c r="I11" s="9">
        <v>883</v>
      </c>
      <c r="J11" s="9">
        <v>372</v>
      </c>
      <c r="K11" s="9">
        <v>493</v>
      </c>
      <c r="L11" s="9">
        <v>18</v>
      </c>
      <c r="M11" s="19">
        <v>42.13</v>
      </c>
      <c r="N11" s="10">
        <v>17</v>
      </c>
      <c r="O11" s="10">
        <v>8</v>
      </c>
      <c r="P11" s="10">
        <v>9</v>
      </c>
      <c r="Q11" s="10">
        <v>0</v>
      </c>
      <c r="R11" s="21">
        <v>47.06</v>
      </c>
      <c r="S11" s="11"/>
    </row>
    <row r="12" spans="1:19" x14ac:dyDescent="0.3">
      <c r="A12" s="51"/>
      <c r="B12" s="58"/>
      <c r="C12" s="3" t="s">
        <v>5</v>
      </c>
      <c r="D12" s="8">
        <v>900</v>
      </c>
      <c r="E12" s="8">
        <v>385</v>
      </c>
      <c r="F12" s="8">
        <v>511</v>
      </c>
      <c r="G12" s="8">
        <v>4</v>
      </c>
      <c r="H12" s="17">
        <v>42.78</v>
      </c>
      <c r="I12" s="9">
        <v>883</v>
      </c>
      <c r="J12" s="9">
        <v>376</v>
      </c>
      <c r="K12" s="9">
        <v>503</v>
      </c>
      <c r="L12" s="9">
        <v>4</v>
      </c>
      <c r="M12" s="19">
        <v>42.58</v>
      </c>
      <c r="N12" s="10">
        <v>17</v>
      </c>
      <c r="O12" s="10">
        <v>9</v>
      </c>
      <c r="P12" s="10">
        <v>8</v>
      </c>
      <c r="Q12" s="10">
        <v>0</v>
      </c>
      <c r="R12" s="21">
        <v>52.94</v>
      </c>
      <c r="S12" s="11"/>
    </row>
    <row r="13" spans="1:19" x14ac:dyDescent="0.3">
      <c r="A13" s="51" t="s">
        <v>2</v>
      </c>
      <c r="B13" s="58" t="s">
        <v>0</v>
      </c>
      <c r="C13" s="3" t="s">
        <v>3</v>
      </c>
      <c r="D13" s="3">
        <v>900</v>
      </c>
      <c r="E13" s="3">
        <v>409</v>
      </c>
      <c r="F13" s="3">
        <v>489</v>
      </c>
      <c r="G13" s="3">
        <v>2</v>
      </c>
      <c r="H13" s="18">
        <v>45.44</v>
      </c>
      <c r="I13" s="2">
        <v>360</v>
      </c>
      <c r="J13" s="2">
        <v>164</v>
      </c>
      <c r="K13" s="2">
        <v>196</v>
      </c>
      <c r="L13" s="2">
        <v>0</v>
      </c>
      <c r="M13" s="20">
        <v>45.56</v>
      </c>
      <c r="N13" s="2">
        <v>540</v>
      </c>
      <c r="O13" s="2">
        <v>245</v>
      </c>
      <c r="P13" s="2">
        <v>293</v>
      </c>
      <c r="Q13" s="2">
        <v>2</v>
      </c>
      <c r="R13" s="22">
        <v>45.37</v>
      </c>
      <c r="S13" s="11"/>
    </row>
    <row r="14" spans="1:19" x14ac:dyDescent="0.3">
      <c r="A14" s="51"/>
      <c r="B14" s="58"/>
      <c r="C14" s="3" t="s">
        <v>4</v>
      </c>
      <c r="D14" s="3">
        <v>900</v>
      </c>
      <c r="E14" s="3">
        <v>429</v>
      </c>
      <c r="F14" s="3">
        <v>470</v>
      </c>
      <c r="G14" s="3">
        <v>1</v>
      </c>
      <c r="H14" s="18">
        <v>47.67</v>
      </c>
      <c r="I14" s="2">
        <v>358</v>
      </c>
      <c r="J14" s="2">
        <v>172</v>
      </c>
      <c r="K14" s="2">
        <v>186</v>
      </c>
      <c r="L14" s="2">
        <v>0</v>
      </c>
      <c r="M14" s="20">
        <v>48.04</v>
      </c>
      <c r="N14" s="2">
        <v>542</v>
      </c>
      <c r="O14" s="2">
        <v>257</v>
      </c>
      <c r="P14" s="2">
        <v>284</v>
      </c>
      <c r="Q14" s="2">
        <v>1</v>
      </c>
      <c r="R14" s="22">
        <v>47.42</v>
      </c>
      <c r="S14" s="11"/>
    </row>
    <row r="15" spans="1:19" x14ac:dyDescent="0.3">
      <c r="A15" s="51"/>
      <c r="B15" s="58"/>
      <c r="C15" s="3" t="s">
        <v>5</v>
      </c>
      <c r="D15" s="3">
        <v>900</v>
      </c>
      <c r="E15" s="3">
        <v>427</v>
      </c>
      <c r="F15" s="3">
        <v>473</v>
      </c>
      <c r="G15" s="3">
        <v>0</v>
      </c>
      <c r="H15" s="18">
        <v>47.44</v>
      </c>
      <c r="I15" s="2">
        <v>352</v>
      </c>
      <c r="J15" s="2">
        <v>162</v>
      </c>
      <c r="K15" s="2">
        <v>190</v>
      </c>
      <c r="L15" s="2">
        <v>0</v>
      </c>
      <c r="M15" s="20">
        <v>46.02</v>
      </c>
      <c r="N15" s="2">
        <v>548</v>
      </c>
      <c r="O15" s="2">
        <v>265</v>
      </c>
      <c r="P15" s="2">
        <v>283</v>
      </c>
      <c r="Q15" s="2">
        <v>0</v>
      </c>
      <c r="R15" s="22">
        <v>48.36</v>
      </c>
      <c r="S15" s="11"/>
    </row>
    <row r="16" spans="1:19" x14ac:dyDescent="0.3">
      <c r="A16" s="51"/>
      <c r="B16" s="58" t="s">
        <v>10</v>
      </c>
      <c r="C16" s="3" t="s">
        <v>3</v>
      </c>
      <c r="D16" s="8">
        <v>900</v>
      </c>
      <c r="E16" s="8">
        <v>357</v>
      </c>
      <c r="F16" s="8">
        <v>541</v>
      </c>
      <c r="G16" s="8">
        <v>2</v>
      </c>
      <c r="H16" s="17">
        <v>39.67</v>
      </c>
      <c r="I16" s="9">
        <v>360</v>
      </c>
      <c r="J16" s="9">
        <v>153</v>
      </c>
      <c r="K16" s="9">
        <v>205</v>
      </c>
      <c r="L16" s="9">
        <v>2</v>
      </c>
      <c r="M16" s="19">
        <v>42.5</v>
      </c>
      <c r="N16" s="10">
        <v>540</v>
      </c>
      <c r="O16" s="10">
        <v>204</v>
      </c>
      <c r="P16" s="10">
        <v>336</v>
      </c>
      <c r="Q16" s="10">
        <v>0</v>
      </c>
      <c r="R16" s="21">
        <v>37.78</v>
      </c>
      <c r="S16" s="11"/>
    </row>
    <row r="17" spans="1:19" x14ac:dyDescent="0.3">
      <c r="A17" s="51"/>
      <c r="B17" s="58"/>
      <c r="C17" s="3" t="s">
        <v>4</v>
      </c>
      <c r="D17" s="8">
        <v>900</v>
      </c>
      <c r="E17" s="8">
        <v>404</v>
      </c>
      <c r="F17" s="8">
        <v>473</v>
      </c>
      <c r="G17" s="8">
        <v>23</v>
      </c>
      <c r="H17" s="17">
        <v>44.89</v>
      </c>
      <c r="I17" s="9">
        <v>360</v>
      </c>
      <c r="J17" s="9">
        <v>153</v>
      </c>
      <c r="K17" s="9">
        <v>206</v>
      </c>
      <c r="L17" s="9">
        <v>1</v>
      </c>
      <c r="M17" s="19">
        <v>42.5</v>
      </c>
      <c r="N17" s="10">
        <v>540</v>
      </c>
      <c r="O17" s="10">
        <v>210</v>
      </c>
      <c r="P17" s="10">
        <v>330</v>
      </c>
      <c r="Q17" s="10">
        <v>0</v>
      </c>
      <c r="R17" s="21">
        <v>38.89</v>
      </c>
      <c r="S17" s="11"/>
    </row>
    <row r="18" spans="1:19" x14ac:dyDescent="0.3">
      <c r="A18" s="51"/>
      <c r="B18" s="58"/>
      <c r="C18" s="3" t="s">
        <v>5</v>
      </c>
      <c r="D18" s="8">
        <v>900</v>
      </c>
      <c r="E18" s="8">
        <v>361</v>
      </c>
      <c r="F18" s="8">
        <v>539</v>
      </c>
      <c r="G18" s="8">
        <v>1</v>
      </c>
      <c r="H18" s="17">
        <v>40.11</v>
      </c>
      <c r="I18" s="9">
        <v>359</v>
      </c>
      <c r="J18" s="9">
        <v>149</v>
      </c>
      <c r="K18" s="9">
        <v>209</v>
      </c>
      <c r="L18" s="9">
        <v>1</v>
      </c>
      <c r="M18" s="19">
        <v>41.5</v>
      </c>
      <c r="N18" s="10">
        <v>541</v>
      </c>
      <c r="O18" s="10">
        <v>212</v>
      </c>
      <c r="P18" s="10">
        <v>329</v>
      </c>
      <c r="Q18" s="10">
        <v>0</v>
      </c>
      <c r="R18" s="21">
        <v>39.19</v>
      </c>
      <c r="S18" s="11"/>
    </row>
    <row r="19" spans="1:19" x14ac:dyDescent="0.3">
      <c r="A19" s="51"/>
      <c r="B19" s="58" t="s">
        <v>11</v>
      </c>
      <c r="C19" s="3" t="s">
        <v>3</v>
      </c>
      <c r="D19" s="3">
        <v>900</v>
      </c>
      <c r="E19" s="3">
        <v>288</v>
      </c>
      <c r="F19" s="3">
        <v>423</v>
      </c>
      <c r="G19" s="3">
        <v>189</v>
      </c>
      <c r="H19" s="18">
        <v>32</v>
      </c>
      <c r="I19" s="2">
        <v>360</v>
      </c>
      <c r="J19" s="2">
        <v>104</v>
      </c>
      <c r="K19" s="2">
        <v>151</v>
      </c>
      <c r="L19" s="2">
        <v>105</v>
      </c>
      <c r="M19" s="20">
        <v>28.89</v>
      </c>
      <c r="N19" s="2">
        <v>540</v>
      </c>
      <c r="O19" s="2">
        <v>184</v>
      </c>
      <c r="P19" s="2">
        <v>272</v>
      </c>
      <c r="Q19" s="2">
        <v>84</v>
      </c>
      <c r="R19" s="22">
        <v>34.07</v>
      </c>
      <c r="S19" s="11"/>
    </row>
    <row r="20" spans="1:19" x14ac:dyDescent="0.3">
      <c r="A20" s="51"/>
      <c r="B20" s="58"/>
      <c r="C20" s="3" t="s">
        <v>4</v>
      </c>
      <c r="D20" s="3">
        <v>900</v>
      </c>
      <c r="E20" s="3">
        <v>404</v>
      </c>
      <c r="F20" s="3">
        <v>473</v>
      </c>
      <c r="G20" s="3">
        <v>23</v>
      </c>
      <c r="H20" s="18">
        <v>40.33</v>
      </c>
      <c r="I20" s="2">
        <v>360</v>
      </c>
      <c r="J20" s="2">
        <v>166</v>
      </c>
      <c r="K20" s="2">
        <v>175</v>
      </c>
      <c r="L20" s="2">
        <v>19</v>
      </c>
      <c r="M20" s="20">
        <v>46.11</v>
      </c>
      <c r="N20" s="2">
        <v>540</v>
      </c>
      <c r="O20" s="2">
        <v>238</v>
      </c>
      <c r="P20" s="2">
        <v>298</v>
      </c>
      <c r="Q20" s="2">
        <v>4</v>
      </c>
      <c r="R20" s="22">
        <v>44.07</v>
      </c>
      <c r="S20" s="11"/>
    </row>
    <row r="21" spans="1:19" x14ac:dyDescent="0.3">
      <c r="A21" s="51"/>
      <c r="B21" s="58"/>
      <c r="C21" s="3" t="s">
        <v>5</v>
      </c>
      <c r="D21" s="3">
        <v>900</v>
      </c>
      <c r="E21" s="3">
        <v>401</v>
      </c>
      <c r="F21" s="3">
        <v>482</v>
      </c>
      <c r="G21" s="3">
        <v>17</v>
      </c>
      <c r="H21" s="18">
        <v>44.56</v>
      </c>
      <c r="I21" s="2">
        <v>359</v>
      </c>
      <c r="J21" s="2">
        <v>169</v>
      </c>
      <c r="K21" s="2">
        <v>174</v>
      </c>
      <c r="L21" s="2">
        <v>16</v>
      </c>
      <c r="M21" s="20">
        <v>47.08</v>
      </c>
      <c r="N21" s="2">
        <v>541</v>
      </c>
      <c r="O21" s="2">
        <v>232</v>
      </c>
      <c r="P21" s="2">
        <v>308</v>
      </c>
      <c r="Q21" s="2">
        <v>1</v>
      </c>
      <c r="R21" s="22">
        <v>42.88</v>
      </c>
      <c r="S21" s="11"/>
    </row>
    <row r="22" spans="1:19" x14ac:dyDescent="0.3">
      <c r="A22"/>
      <c r="B22"/>
      <c r="C22"/>
    </row>
    <row r="23" spans="1:19" x14ac:dyDescent="0.3">
      <c r="A23"/>
      <c r="B23"/>
      <c r="C23"/>
    </row>
  </sheetData>
  <mergeCells count="15">
    <mergeCell ref="A4:A12"/>
    <mergeCell ref="A13:A21"/>
    <mergeCell ref="A1:R1"/>
    <mergeCell ref="D2:H2"/>
    <mergeCell ref="I2:M2"/>
    <mergeCell ref="N2:R2"/>
    <mergeCell ref="A2:A3"/>
    <mergeCell ref="B2:B3"/>
    <mergeCell ref="C2:C3"/>
    <mergeCell ref="B19:B21"/>
    <mergeCell ref="B4:B6"/>
    <mergeCell ref="B7:B9"/>
    <mergeCell ref="B10:B12"/>
    <mergeCell ref="B13:B15"/>
    <mergeCell ref="B16:B1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3DA8E1-F169-4F76-BA5B-E15F6265510D}">
  <dimension ref="A1:G36"/>
  <sheetViews>
    <sheetView topLeftCell="A2" workbookViewId="0">
      <selection activeCell="F12" sqref="F12"/>
    </sheetView>
  </sheetViews>
  <sheetFormatPr baseColWidth="10" defaultRowHeight="14.4" x14ac:dyDescent="0.3"/>
  <cols>
    <col min="1" max="1" width="10.33203125" style="1" customWidth="1"/>
    <col min="2" max="2" width="8.6640625" style="1" bestFit="1" customWidth="1"/>
    <col min="3" max="3" width="6.88671875" style="1" bestFit="1" customWidth="1"/>
    <col min="4" max="6" width="17.5546875" style="1" customWidth="1"/>
    <col min="7" max="16384" width="11.5546875" style="1"/>
  </cols>
  <sheetData>
    <row r="1" spans="1:7" customFormat="1" x14ac:dyDescent="0.3"/>
    <row r="2" spans="1:7" customFormat="1" ht="27.6" x14ac:dyDescent="0.3">
      <c r="A2" s="60" t="s">
        <v>19</v>
      </c>
      <c r="B2" s="60" t="s">
        <v>20</v>
      </c>
      <c r="C2" s="60" t="s">
        <v>13</v>
      </c>
      <c r="D2" s="16" t="s">
        <v>16</v>
      </c>
      <c r="E2" s="16" t="s">
        <v>15</v>
      </c>
      <c r="F2" s="16" t="s">
        <v>18</v>
      </c>
    </row>
    <row r="3" spans="1:7" s="4" customFormat="1" x14ac:dyDescent="0.3">
      <c r="A3" s="61"/>
      <c r="B3" s="61"/>
      <c r="C3" s="61"/>
      <c r="D3" s="12" t="s">
        <v>12</v>
      </c>
      <c r="E3" s="13" t="s">
        <v>12</v>
      </c>
      <c r="F3" s="14" t="s">
        <v>12</v>
      </c>
    </row>
    <row r="4" spans="1:7" x14ac:dyDescent="0.3">
      <c r="A4" s="62" t="s">
        <v>1</v>
      </c>
      <c r="B4" s="59" t="s">
        <v>0</v>
      </c>
      <c r="C4" s="15" t="s">
        <v>3</v>
      </c>
      <c r="D4" s="17">
        <v>48.11</v>
      </c>
      <c r="E4" s="19">
        <v>47.35</v>
      </c>
      <c r="F4" s="21">
        <v>50.75</v>
      </c>
      <c r="G4" s="11"/>
    </row>
    <row r="5" spans="1:7" x14ac:dyDescent="0.3">
      <c r="A5" s="62"/>
      <c r="B5" s="59"/>
      <c r="C5" s="15" t="s">
        <v>4</v>
      </c>
      <c r="D5" s="17">
        <v>46.78</v>
      </c>
      <c r="E5" s="19">
        <v>46.77</v>
      </c>
      <c r="F5" s="21">
        <v>47.06</v>
      </c>
      <c r="G5" s="11"/>
    </row>
    <row r="6" spans="1:7" x14ac:dyDescent="0.3">
      <c r="A6" s="62"/>
      <c r="B6" s="59"/>
      <c r="C6" s="15" t="s">
        <v>5</v>
      </c>
      <c r="D6" s="17">
        <v>48.33</v>
      </c>
      <c r="E6" s="19">
        <v>48.47</v>
      </c>
      <c r="F6" s="21">
        <v>41.18</v>
      </c>
      <c r="G6" s="11"/>
    </row>
    <row r="7" spans="1:7" x14ac:dyDescent="0.3">
      <c r="A7" s="62"/>
      <c r="B7" s="59" t="s">
        <v>10</v>
      </c>
      <c r="C7" s="15" t="s">
        <v>3</v>
      </c>
      <c r="D7" s="18">
        <v>37.22</v>
      </c>
      <c r="E7" s="20">
        <v>37.909999999999997</v>
      </c>
      <c r="F7" s="22">
        <v>34.83</v>
      </c>
      <c r="G7" s="11"/>
    </row>
    <row r="8" spans="1:7" x14ac:dyDescent="0.3">
      <c r="A8" s="62"/>
      <c r="B8" s="59"/>
      <c r="C8" s="15" t="s">
        <v>4</v>
      </c>
      <c r="D8" s="18">
        <v>36.78</v>
      </c>
      <c r="E8" s="20">
        <v>37.15</v>
      </c>
      <c r="F8" s="22">
        <v>17.649999999999999</v>
      </c>
      <c r="G8" s="11"/>
    </row>
    <row r="9" spans="1:7" x14ac:dyDescent="0.3">
      <c r="A9" s="62"/>
      <c r="B9" s="59"/>
      <c r="C9" s="15" t="s">
        <v>5</v>
      </c>
      <c r="D9" s="18">
        <v>38.44</v>
      </c>
      <c r="E9" s="20">
        <v>38.729999999999997</v>
      </c>
      <c r="F9" s="22">
        <v>23.53</v>
      </c>
      <c r="G9" s="11"/>
    </row>
    <row r="10" spans="1:7" x14ac:dyDescent="0.3">
      <c r="A10" s="62"/>
      <c r="B10" s="59" t="s">
        <v>11</v>
      </c>
      <c r="C10" s="15" t="s">
        <v>3</v>
      </c>
      <c r="D10" s="17">
        <v>36.67</v>
      </c>
      <c r="E10" s="19">
        <v>37.909999999999997</v>
      </c>
      <c r="F10" s="21">
        <v>41.79</v>
      </c>
      <c r="G10" s="11"/>
    </row>
    <row r="11" spans="1:7" x14ac:dyDescent="0.3">
      <c r="A11" s="62"/>
      <c r="B11" s="59"/>
      <c r="C11" s="15" t="s">
        <v>4</v>
      </c>
      <c r="D11" s="17">
        <v>42.22</v>
      </c>
      <c r="E11" s="19">
        <v>42.13</v>
      </c>
      <c r="F11" s="21">
        <v>47.06</v>
      </c>
      <c r="G11" s="11"/>
    </row>
    <row r="12" spans="1:7" x14ac:dyDescent="0.3">
      <c r="A12" s="62"/>
      <c r="B12" s="59"/>
      <c r="C12" s="15" t="s">
        <v>5</v>
      </c>
      <c r="D12" s="17">
        <v>42.78</v>
      </c>
      <c r="E12" s="19">
        <v>42.58</v>
      </c>
      <c r="F12" s="21">
        <v>52.94</v>
      </c>
      <c r="G12" s="11"/>
    </row>
    <row r="13" spans="1:7" x14ac:dyDescent="0.3">
      <c r="A13" s="62" t="s">
        <v>2</v>
      </c>
      <c r="B13" s="59" t="s">
        <v>0</v>
      </c>
      <c r="C13" s="15" t="s">
        <v>3</v>
      </c>
      <c r="D13" s="18">
        <v>45.44</v>
      </c>
      <c r="E13" s="20">
        <v>45.56</v>
      </c>
      <c r="F13" s="22">
        <v>45.37</v>
      </c>
      <c r="G13" s="11"/>
    </row>
    <row r="14" spans="1:7" x14ac:dyDescent="0.3">
      <c r="A14" s="62"/>
      <c r="B14" s="59"/>
      <c r="C14" s="15" t="s">
        <v>4</v>
      </c>
      <c r="D14" s="18">
        <v>47.67</v>
      </c>
      <c r="E14" s="20">
        <v>48.04</v>
      </c>
      <c r="F14" s="22">
        <v>47.42</v>
      </c>
      <c r="G14" s="11"/>
    </row>
    <row r="15" spans="1:7" x14ac:dyDescent="0.3">
      <c r="A15" s="62"/>
      <c r="B15" s="59"/>
      <c r="C15" s="15" t="s">
        <v>5</v>
      </c>
      <c r="D15" s="18">
        <v>47.44</v>
      </c>
      <c r="E15" s="20">
        <v>46.02</v>
      </c>
      <c r="F15" s="22">
        <v>48.36</v>
      </c>
      <c r="G15" s="11"/>
    </row>
    <row r="16" spans="1:7" x14ac:dyDescent="0.3">
      <c r="A16" s="62"/>
      <c r="B16" s="59" t="s">
        <v>10</v>
      </c>
      <c r="C16" s="15" t="s">
        <v>3</v>
      </c>
      <c r="D16" s="17">
        <v>39.67</v>
      </c>
      <c r="E16" s="19">
        <v>42.5</v>
      </c>
      <c r="F16" s="21">
        <v>37.78</v>
      </c>
      <c r="G16" s="11"/>
    </row>
    <row r="17" spans="1:7" x14ac:dyDescent="0.3">
      <c r="A17" s="62"/>
      <c r="B17" s="59"/>
      <c r="C17" s="15" t="s">
        <v>4</v>
      </c>
      <c r="D17" s="17">
        <v>44.89</v>
      </c>
      <c r="E17" s="19">
        <v>42.5</v>
      </c>
      <c r="F17" s="21">
        <v>38.89</v>
      </c>
      <c r="G17" s="11"/>
    </row>
    <row r="18" spans="1:7" x14ac:dyDescent="0.3">
      <c r="A18" s="62"/>
      <c r="B18" s="59"/>
      <c r="C18" s="15" t="s">
        <v>5</v>
      </c>
      <c r="D18" s="17">
        <v>40.11</v>
      </c>
      <c r="E18" s="19">
        <v>41.5</v>
      </c>
      <c r="F18" s="21">
        <v>39.19</v>
      </c>
      <c r="G18" s="11"/>
    </row>
    <row r="19" spans="1:7" x14ac:dyDescent="0.3">
      <c r="A19" s="62"/>
      <c r="B19" s="59" t="s">
        <v>11</v>
      </c>
      <c r="C19" s="15" t="s">
        <v>3</v>
      </c>
      <c r="D19" s="18">
        <v>32</v>
      </c>
      <c r="E19" s="20">
        <v>28.89</v>
      </c>
      <c r="F19" s="22">
        <v>34.07</v>
      </c>
      <c r="G19" s="11"/>
    </row>
    <row r="20" spans="1:7" x14ac:dyDescent="0.3">
      <c r="A20" s="62"/>
      <c r="B20" s="59"/>
      <c r="C20" s="15" t="s">
        <v>4</v>
      </c>
      <c r="D20" s="18">
        <v>40.33</v>
      </c>
      <c r="E20" s="20">
        <v>46.11</v>
      </c>
      <c r="F20" s="22">
        <v>44.07</v>
      </c>
      <c r="G20" s="11"/>
    </row>
    <row r="21" spans="1:7" x14ac:dyDescent="0.3">
      <c r="A21" s="62"/>
      <c r="B21" s="59"/>
      <c r="C21" s="15" t="s">
        <v>5</v>
      </c>
      <c r="D21" s="18">
        <v>44.56</v>
      </c>
      <c r="E21" s="20">
        <v>47.08</v>
      </c>
      <c r="F21" s="22">
        <v>42.88</v>
      </c>
      <c r="G21" s="11"/>
    </row>
    <row r="22" spans="1:7" x14ac:dyDescent="0.3">
      <c r="A22"/>
      <c r="B22"/>
      <c r="C22"/>
    </row>
    <row r="23" spans="1:7" x14ac:dyDescent="0.3">
      <c r="A23"/>
      <c r="B23"/>
      <c r="C23"/>
    </row>
    <row r="24" spans="1:7" ht="27.6" x14ac:dyDescent="0.3">
      <c r="A24"/>
      <c r="B24" s="60" t="s">
        <v>20</v>
      </c>
      <c r="C24" s="60" t="s">
        <v>13</v>
      </c>
      <c r="D24" s="16" t="s">
        <v>16</v>
      </c>
      <c r="E24" s="16" t="s">
        <v>15</v>
      </c>
      <c r="F24" s="16" t="s">
        <v>18</v>
      </c>
    </row>
    <row r="25" spans="1:7" x14ac:dyDescent="0.3">
      <c r="A25"/>
      <c r="B25" s="61"/>
      <c r="C25" s="61"/>
      <c r="D25" s="12" t="s">
        <v>12</v>
      </c>
      <c r="E25" s="13" t="s">
        <v>12</v>
      </c>
      <c r="F25" s="14" t="s">
        <v>12</v>
      </c>
    </row>
    <row r="26" spans="1:7" x14ac:dyDescent="0.3">
      <c r="A26"/>
      <c r="B26" s="59" t="s">
        <v>1</v>
      </c>
      <c r="C26" s="15" t="s">
        <v>3</v>
      </c>
      <c r="D26" s="23">
        <f t="shared" ref="D26:F27" si="0">(D4+D7+D10)/3</f>
        <v>40.666666666666664</v>
      </c>
      <c r="E26" s="23">
        <f t="shared" si="0"/>
        <v>41.056666666666665</v>
      </c>
      <c r="F26" s="23">
        <f t="shared" si="0"/>
        <v>42.456666666666671</v>
      </c>
    </row>
    <row r="27" spans="1:7" x14ac:dyDescent="0.3">
      <c r="A27"/>
      <c r="B27" s="59"/>
      <c r="C27" s="15" t="s">
        <v>4</v>
      </c>
      <c r="D27" s="23">
        <f t="shared" si="0"/>
        <v>41.926666666666669</v>
      </c>
      <c r="E27" s="23">
        <f t="shared" si="0"/>
        <v>42.016666666666673</v>
      </c>
      <c r="F27" s="23">
        <f t="shared" si="0"/>
        <v>37.256666666666668</v>
      </c>
    </row>
    <row r="28" spans="1:7" x14ac:dyDescent="0.3">
      <c r="A28"/>
      <c r="B28" s="59"/>
      <c r="C28" s="15" t="s">
        <v>5</v>
      </c>
      <c r="D28" s="23">
        <f>(D6+D9+D12)/3</f>
        <v>43.183333333333337</v>
      </c>
      <c r="E28" s="23">
        <f t="shared" ref="E28:F28" si="1">(E6+E9+E12)/3</f>
        <v>43.259999999999991</v>
      </c>
      <c r="F28" s="23">
        <f t="shared" si="1"/>
        <v>39.216666666666669</v>
      </c>
    </row>
    <row r="29" spans="1:7" x14ac:dyDescent="0.3">
      <c r="A29"/>
      <c r="B29" s="59" t="s">
        <v>2</v>
      </c>
      <c r="C29" s="15" t="s">
        <v>3</v>
      </c>
      <c r="D29" s="23">
        <f>(D13+D16+D19)/3</f>
        <v>39.036666666666669</v>
      </c>
      <c r="E29" s="23">
        <f t="shared" ref="E29:F29" si="2">(E13+E16+E19)/3</f>
        <v>38.983333333333334</v>
      </c>
      <c r="F29" s="23">
        <f t="shared" si="2"/>
        <v>39.073333333333331</v>
      </c>
    </row>
    <row r="30" spans="1:7" x14ac:dyDescent="0.3">
      <c r="A30"/>
      <c r="B30" s="59"/>
      <c r="C30" s="15" t="s">
        <v>4</v>
      </c>
      <c r="D30" s="23">
        <f>(D14+D17+D20)/3</f>
        <v>44.29666666666666</v>
      </c>
      <c r="E30" s="23">
        <f t="shared" ref="E30:F30" si="3">(E14+E17+E20)/3</f>
        <v>45.54999999999999</v>
      </c>
      <c r="F30" s="23">
        <f t="shared" si="3"/>
        <v>43.46</v>
      </c>
    </row>
    <row r="31" spans="1:7" x14ac:dyDescent="0.3">
      <c r="A31"/>
      <c r="B31" s="59"/>
      <c r="C31" s="15" t="s">
        <v>5</v>
      </c>
      <c r="D31" s="23">
        <f>(D15+D18+D21)/3</f>
        <v>44.036666666666669</v>
      </c>
      <c r="E31" s="23">
        <f t="shared" ref="E31:F31" si="4">(E15+E18+E21)/3</f>
        <v>44.866666666666674</v>
      </c>
      <c r="F31" s="23">
        <f t="shared" si="4"/>
        <v>43.476666666666667</v>
      </c>
    </row>
    <row r="32" spans="1:7" customFormat="1" x14ac:dyDescent="0.3"/>
    <row r="33" customFormat="1" x14ac:dyDescent="0.3"/>
    <row r="34" customFormat="1" x14ac:dyDescent="0.3"/>
    <row r="35" customFormat="1" x14ac:dyDescent="0.3"/>
    <row r="36" customFormat="1" x14ac:dyDescent="0.3"/>
  </sheetData>
  <mergeCells count="15">
    <mergeCell ref="B26:B28"/>
    <mergeCell ref="B29:B31"/>
    <mergeCell ref="A2:A3"/>
    <mergeCell ref="B2:B3"/>
    <mergeCell ref="C2:C3"/>
    <mergeCell ref="B24:B25"/>
    <mergeCell ref="C24:C25"/>
    <mergeCell ref="A4:A12"/>
    <mergeCell ref="B4:B6"/>
    <mergeCell ref="B7:B9"/>
    <mergeCell ref="B10:B12"/>
    <mergeCell ref="A13:A21"/>
    <mergeCell ref="B13:B15"/>
    <mergeCell ref="B16:B18"/>
    <mergeCell ref="B19:B2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35BDDE-5661-4AAE-9319-A4E4E65ECFB7}">
  <dimension ref="B2:G13"/>
  <sheetViews>
    <sheetView zoomScale="90" zoomScaleNormal="90" workbookViewId="0">
      <selection activeCell="D8" sqref="D8"/>
    </sheetView>
  </sheetViews>
  <sheetFormatPr baseColWidth="10" defaultRowHeight="14.4" x14ac:dyDescent="0.3"/>
  <sheetData>
    <row r="2" spans="2:7" x14ac:dyDescent="0.3">
      <c r="B2" s="64" t="s">
        <v>21</v>
      </c>
      <c r="C2" s="64"/>
      <c r="D2" s="24" t="s">
        <v>0</v>
      </c>
      <c r="E2" s="24" t="s">
        <v>10</v>
      </c>
      <c r="F2" s="24" t="s">
        <v>11</v>
      </c>
    </row>
    <row r="3" spans="2:7" x14ac:dyDescent="0.3">
      <c r="B3" s="63" t="s">
        <v>22</v>
      </c>
      <c r="C3" s="63"/>
      <c r="D3" s="25">
        <v>45.72</v>
      </c>
      <c r="E3" s="25">
        <v>43.22</v>
      </c>
      <c r="F3" s="25">
        <v>35.729999999999997</v>
      </c>
      <c r="G3" s="29">
        <f>AVERAGE(D3:F3)</f>
        <v>41.556666666666665</v>
      </c>
    </row>
    <row r="4" spans="2:7" x14ac:dyDescent="0.3">
      <c r="B4" s="63" t="s">
        <v>23</v>
      </c>
      <c r="C4" s="63"/>
      <c r="D4" s="28">
        <v>47.8</v>
      </c>
      <c r="E4" s="25">
        <v>43.52</v>
      </c>
      <c r="F4" s="25">
        <v>44.08</v>
      </c>
      <c r="G4" s="29">
        <f t="shared" ref="G4:G11" si="0">AVERAGE(D4:F4)</f>
        <v>45.133333333333326</v>
      </c>
    </row>
    <row r="5" spans="2:7" x14ac:dyDescent="0.3">
      <c r="B5" s="63" t="s">
        <v>24</v>
      </c>
      <c r="C5" s="63"/>
      <c r="D5" s="31">
        <v>48.37</v>
      </c>
      <c r="E5" s="25">
        <v>43.8</v>
      </c>
      <c r="F5" s="25">
        <v>43.92</v>
      </c>
      <c r="G5" s="30">
        <f t="shared" si="0"/>
        <v>45.363333333333323</v>
      </c>
    </row>
    <row r="6" spans="2:7" x14ac:dyDescent="0.3">
      <c r="B6" s="63" t="s">
        <v>1</v>
      </c>
      <c r="C6" s="26" t="s">
        <v>3</v>
      </c>
      <c r="D6" s="25">
        <v>48.11</v>
      </c>
      <c r="E6" s="25">
        <v>48.33</v>
      </c>
      <c r="F6" s="25">
        <v>36.67</v>
      </c>
      <c r="G6" s="29">
        <f t="shared" si="0"/>
        <v>44.370000000000005</v>
      </c>
    </row>
    <row r="7" spans="2:7" x14ac:dyDescent="0.3">
      <c r="B7" s="63"/>
      <c r="C7" s="26" t="s">
        <v>4</v>
      </c>
      <c r="D7" s="25">
        <v>46.78</v>
      </c>
      <c r="E7" s="25">
        <v>36.78</v>
      </c>
      <c r="F7" s="25">
        <v>42.22</v>
      </c>
      <c r="G7" s="29">
        <f t="shared" si="0"/>
        <v>41.926666666666669</v>
      </c>
    </row>
    <row r="8" spans="2:7" x14ac:dyDescent="0.3">
      <c r="B8" s="63"/>
      <c r="C8" s="27" t="s">
        <v>5</v>
      </c>
      <c r="D8" s="25">
        <v>48.33</v>
      </c>
      <c r="E8" s="25">
        <v>38.44</v>
      </c>
      <c r="F8" s="25">
        <v>42.78</v>
      </c>
      <c r="G8" s="29">
        <f t="shared" si="0"/>
        <v>43.183333333333337</v>
      </c>
    </row>
    <row r="9" spans="2:7" x14ac:dyDescent="0.3">
      <c r="B9" s="63" t="s">
        <v>2</v>
      </c>
      <c r="C9" s="27" t="s">
        <v>3</v>
      </c>
      <c r="D9" s="25">
        <v>45.44</v>
      </c>
      <c r="E9" s="25">
        <v>39.67</v>
      </c>
      <c r="F9" s="28">
        <v>32</v>
      </c>
      <c r="G9" s="29">
        <f t="shared" si="0"/>
        <v>39.036666666666669</v>
      </c>
    </row>
    <row r="10" spans="2:7" x14ac:dyDescent="0.3">
      <c r="B10" s="63"/>
      <c r="C10" s="27" t="s">
        <v>4</v>
      </c>
      <c r="D10" s="25">
        <v>47.67</v>
      </c>
      <c r="E10" s="25">
        <v>44.89</v>
      </c>
      <c r="F10" s="25">
        <v>40.33</v>
      </c>
      <c r="G10" s="29">
        <f t="shared" si="0"/>
        <v>44.29666666666666</v>
      </c>
    </row>
    <row r="11" spans="2:7" x14ac:dyDescent="0.3">
      <c r="B11" s="63"/>
      <c r="C11" s="27" t="s">
        <v>5</v>
      </c>
      <c r="D11" s="25">
        <v>47.44</v>
      </c>
      <c r="E11" s="25">
        <v>40.11</v>
      </c>
      <c r="F11" s="25">
        <v>44.56</v>
      </c>
      <c r="G11" s="29">
        <f t="shared" si="0"/>
        <v>44.036666666666669</v>
      </c>
    </row>
    <row r="13" spans="2:7" x14ac:dyDescent="0.3">
      <c r="D13" s="30">
        <f>AVERAGE(D3:D11)</f>
        <v>47.295555555555559</v>
      </c>
      <c r="E13" s="29">
        <f t="shared" ref="E13:F13" si="1">AVERAGE(E3:E11)</f>
        <v>42.084444444444443</v>
      </c>
      <c r="F13" s="29">
        <f t="shared" si="1"/>
        <v>40.254444444444438</v>
      </c>
    </row>
  </sheetData>
  <mergeCells count="6">
    <mergeCell ref="B9:B11"/>
    <mergeCell ref="B2:C2"/>
    <mergeCell ref="B3:C3"/>
    <mergeCell ref="B4:C4"/>
    <mergeCell ref="B5:C5"/>
    <mergeCell ref="B6:B8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7FFFE2-FCD9-4E24-96AC-F10F69C779A4}">
  <dimension ref="A2:M27"/>
  <sheetViews>
    <sheetView topLeftCell="B1" zoomScale="90" zoomScaleNormal="90" workbookViewId="0">
      <selection activeCell="H11" sqref="H11"/>
    </sheetView>
  </sheetViews>
  <sheetFormatPr baseColWidth="10" defaultRowHeight="14.4" x14ac:dyDescent="0.3"/>
  <sheetData>
    <row r="2" spans="1:13" x14ac:dyDescent="0.3">
      <c r="A2" s="57" t="s">
        <v>19</v>
      </c>
      <c r="B2" s="57" t="s">
        <v>20</v>
      </c>
      <c r="C2" s="57" t="s">
        <v>13</v>
      </c>
      <c r="D2" s="53" t="s">
        <v>27</v>
      </c>
      <c r="E2" s="53"/>
      <c r="F2" s="53"/>
      <c r="G2" s="53"/>
      <c r="H2" s="53"/>
      <c r="I2" s="54" t="s">
        <v>28</v>
      </c>
      <c r="J2" s="55"/>
      <c r="K2" s="55"/>
      <c r="L2" s="55"/>
      <c r="M2" s="56"/>
    </row>
    <row r="3" spans="1:13" ht="28.8" x14ac:dyDescent="0.3">
      <c r="A3" s="57"/>
      <c r="B3" s="57"/>
      <c r="C3" s="57"/>
      <c r="D3" s="7" t="s">
        <v>6</v>
      </c>
      <c r="E3" s="7" t="s">
        <v>7</v>
      </c>
      <c r="F3" s="7" t="s">
        <v>8</v>
      </c>
      <c r="G3" s="7" t="s">
        <v>9</v>
      </c>
      <c r="H3" s="7" t="s">
        <v>12</v>
      </c>
      <c r="I3" s="6" t="s">
        <v>6</v>
      </c>
      <c r="J3" s="6" t="s">
        <v>7</v>
      </c>
      <c r="K3" s="6" t="s">
        <v>8</v>
      </c>
      <c r="L3" s="6" t="s">
        <v>9</v>
      </c>
      <c r="M3" s="6" t="s">
        <v>12</v>
      </c>
    </row>
    <row r="4" spans="1:13" x14ac:dyDescent="0.3">
      <c r="A4" s="68" t="s">
        <v>1</v>
      </c>
      <c r="B4" s="65" t="s">
        <v>0</v>
      </c>
      <c r="C4" s="3" t="s">
        <v>3</v>
      </c>
      <c r="D4" s="8">
        <v>900</v>
      </c>
      <c r="E4" s="8">
        <v>440</v>
      </c>
      <c r="F4" s="8">
        <v>460</v>
      </c>
      <c r="G4" s="8">
        <v>0</v>
      </c>
      <c r="H4" s="35" t="s">
        <v>29</v>
      </c>
      <c r="I4" s="9">
        <v>900</v>
      </c>
      <c r="J4" s="9">
        <v>411</v>
      </c>
      <c r="K4" s="9">
        <v>489</v>
      </c>
      <c r="L4" s="9">
        <v>0</v>
      </c>
      <c r="M4" s="36">
        <v>45.67</v>
      </c>
    </row>
    <row r="5" spans="1:13" x14ac:dyDescent="0.3">
      <c r="A5" s="69"/>
      <c r="B5" s="66"/>
      <c r="C5" s="3" t="s">
        <v>4</v>
      </c>
      <c r="D5" s="8">
        <v>900</v>
      </c>
      <c r="E5" s="8">
        <v>428</v>
      </c>
      <c r="F5" s="8">
        <v>472</v>
      </c>
      <c r="G5" s="8">
        <v>0</v>
      </c>
      <c r="H5" s="35">
        <v>47.56</v>
      </c>
      <c r="I5" s="9">
        <v>900</v>
      </c>
      <c r="J5" s="9">
        <v>402</v>
      </c>
      <c r="K5" s="9">
        <v>497</v>
      </c>
      <c r="L5" s="9">
        <v>1</v>
      </c>
      <c r="M5" s="36">
        <v>44.72</v>
      </c>
    </row>
    <row r="6" spans="1:13" x14ac:dyDescent="0.3">
      <c r="A6" s="69"/>
      <c r="B6" s="66"/>
      <c r="C6" s="3" t="s">
        <v>5</v>
      </c>
      <c r="D6" s="8">
        <v>900</v>
      </c>
      <c r="E6" s="8">
        <v>419</v>
      </c>
      <c r="F6" s="8">
        <v>481</v>
      </c>
      <c r="G6" s="8">
        <v>0</v>
      </c>
      <c r="H6" s="35">
        <v>46.56</v>
      </c>
      <c r="I6" s="9">
        <v>900</v>
      </c>
      <c r="J6" s="9">
        <v>386</v>
      </c>
      <c r="K6" s="9">
        <v>513</v>
      </c>
      <c r="L6" s="9">
        <v>1</v>
      </c>
      <c r="M6" s="36">
        <v>42.94</v>
      </c>
    </row>
    <row r="7" spans="1:13" x14ac:dyDescent="0.3">
      <c r="A7" s="69"/>
      <c r="B7" s="67"/>
      <c r="C7" s="3" t="s">
        <v>26</v>
      </c>
      <c r="D7" s="8">
        <v>900</v>
      </c>
      <c r="E7" s="8">
        <v>429</v>
      </c>
      <c r="F7" s="8">
        <v>471</v>
      </c>
      <c r="G7" s="8">
        <v>0</v>
      </c>
      <c r="H7" s="35">
        <v>47.67</v>
      </c>
      <c r="I7" s="9">
        <v>900</v>
      </c>
      <c r="J7" s="9">
        <v>410</v>
      </c>
      <c r="K7" s="9">
        <v>489</v>
      </c>
      <c r="L7" s="9">
        <v>1</v>
      </c>
      <c r="M7" s="36">
        <v>45.61</v>
      </c>
    </row>
    <row r="8" spans="1:13" x14ac:dyDescent="0.3">
      <c r="A8" s="69"/>
      <c r="B8" s="65" t="s">
        <v>11</v>
      </c>
      <c r="C8" s="3" t="s">
        <v>3</v>
      </c>
      <c r="D8" s="3">
        <v>900</v>
      </c>
      <c r="E8" s="3">
        <v>404</v>
      </c>
      <c r="F8" s="3">
        <v>494</v>
      </c>
      <c r="G8" s="3">
        <v>2</v>
      </c>
      <c r="H8" s="34">
        <v>44.99</v>
      </c>
      <c r="I8" s="2">
        <v>900</v>
      </c>
      <c r="J8" s="2">
        <v>395</v>
      </c>
      <c r="K8" s="2">
        <v>503</v>
      </c>
      <c r="L8" s="2">
        <v>2</v>
      </c>
      <c r="M8" s="37">
        <v>43.99</v>
      </c>
    </row>
    <row r="9" spans="1:13" x14ac:dyDescent="0.3">
      <c r="A9" s="69"/>
      <c r="B9" s="66"/>
      <c r="C9" s="3" t="s">
        <v>4</v>
      </c>
      <c r="D9" s="3">
        <v>900</v>
      </c>
      <c r="E9" s="3">
        <v>374</v>
      </c>
      <c r="F9" s="3">
        <v>522</v>
      </c>
      <c r="G9" s="3">
        <v>4</v>
      </c>
      <c r="H9" s="34">
        <v>41.74</v>
      </c>
      <c r="I9" s="2">
        <v>900</v>
      </c>
      <c r="J9" s="2">
        <v>397</v>
      </c>
      <c r="K9" s="2">
        <v>497</v>
      </c>
      <c r="L9" s="2">
        <v>6</v>
      </c>
      <c r="M9" s="37">
        <v>44.41</v>
      </c>
    </row>
    <row r="10" spans="1:13" x14ac:dyDescent="0.3">
      <c r="A10" s="69"/>
      <c r="B10" s="66"/>
      <c r="C10" s="3" t="s">
        <v>5</v>
      </c>
      <c r="D10" s="3">
        <v>900</v>
      </c>
      <c r="E10" s="3">
        <v>383</v>
      </c>
      <c r="F10" s="3">
        <v>513</v>
      </c>
      <c r="G10" s="3">
        <v>4</v>
      </c>
      <c r="H10" s="34">
        <v>42.75</v>
      </c>
      <c r="I10" s="2">
        <v>900</v>
      </c>
      <c r="J10" s="2">
        <v>392</v>
      </c>
      <c r="K10" s="2">
        <v>505</v>
      </c>
      <c r="L10" s="2">
        <v>3</v>
      </c>
      <c r="M10" s="37">
        <v>43.7</v>
      </c>
    </row>
    <row r="11" spans="1:13" x14ac:dyDescent="0.3">
      <c r="A11" s="69"/>
      <c r="B11" s="67"/>
      <c r="C11" s="3" t="s">
        <v>26</v>
      </c>
      <c r="D11" s="3">
        <v>900</v>
      </c>
      <c r="E11" s="3">
        <v>388</v>
      </c>
      <c r="F11" s="3">
        <v>507</v>
      </c>
      <c r="G11" s="3">
        <v>5</v>
      </c>
      <c r="H11" s="34">
        <v>43.35</v>
      </c>
      <c r="I11" s="2">
        <v>900</v>
      </c>
      <c r="J11" s="2">
        <v>406</v>
      </c>
      <c r="K11" s="2">
        <v>493</v>
      </c>
      <c r="L11" s="2">
        <v>1</v>
      </c>
      <c r="M11" s="37">
        <v>45.16</v>
      </c>
    </row>
    <row r="12" spans="1:13" x14ac:dyDescent="0.3">
      <c r="A12" s="69"/>
      <c r="B12" s="58" t="s">
        <v>10</v>
      </c>
      <c r="C12" s="3" t="s">
        <v>3</v>
      </c>
      <c r="D12" s="8">
        <v>900</v>
      </c>
      <c r="E12" s="8">
        <v>352</v>
      </c>
      <c r="F12" s="8">
        <v>548</v>
      </c>
      <c r="G12" s="8">
        <v>0</v>
      </c>
      <c r="H12" s="35">
        <v>39.11</v>
      </c>
      <c r="I12" s="9">
        <v>900</v>
      </c>
      <c r="J12" s="9">
        <v>350</v>
      </c>
      <c r="K12" s="9">
        <v>548</v>
      </c>
      <c r="L12" s="9">
        <v>2</v>
      </c>
      <c r="M12" s="36">
        <v>38.979999999999997</v>
      </c>
    </row>
    <row r="13" spans="1:13" x14ac:dyDescent="0.3">
      <c r="A13" s="69"/>
      <c r="B13" s="58"/>
      <c r="C13" s="3" t="s">
        <v>4</v>
      </c>
      <c r="D13" s="8">
        <v>900</v>
      </c>
      <c r="E13" s="8">
        <v>335</v>
      </c>
      <c r="F13" s="8">
        <v>565</v>
      </c>
      <c r="G13" s="8">
        <v>0</v>
      </c>
      <c r="H13" s="35">
        <v>37.22</v>
      </c>
      <c r="I13" s="9">
        <v>900</v>
      </c>
      <c r="J13" s="9">
        <v>335</v>
      </c>
      <c r="K13" s="9">
        <v>564</v>
      </c>
      <c r="L13" s="9">
        <v>1</v>
      </c>
      <c r="M13" s="36">
        <v>37.26</v>
      </c>
    </row>
    <row r="14" spans="1:13" x14ac:dyDescent="0.3">
      <c r="A14" s="69"/>
      <c r="B14" s="58"/>
      <c r="C14" s="3" t="s">
        <v>5</v>
      </c>
      <c r="D14" s="8">
        <v>900</v>
      </c>
      <c r="E14" s="8">
        <v>329</v>
      </c>
      <c r="F14" s="8">
        <v>571</v>
      </c>
      <c r="G14" s="8">
        <v>0</v>
      </c>
      <c r="H14" s="35">
        <v>36.56</v>
      </c>
      <c r="I14" s="9">
        <v>900</v>
      </c>
      <c r="J14" s="9">
        <v>337</v>
      </c>
      <c r="K14" s="9">
        <v>562</v>
      </c>
      <c r="L14" s="9">
        <v>1</v>
      </c>
      <c r="M14" s="36">
        <v>37.49</v>
      </c>
    </row>
    <row r="15" spans="1:13" x14ac:dyDescent="0.3">
      <c r="A15" s="70"/>
      <c r="B15" s="58"/>
      <c r="C15" s="3" t="s">
        <v>26</v>
      </c>
      <c r="D15" s="8">
        <v>900</v>
      </c>
      <c r="E15" s="8">
        <v>344</v>
      </c>
      <c r="F15" s="8">
        <v>556</v>
      </c>
      <c r="G15" s="8">
        <v>0</v>
      </c>
      <c r="H15" s="35">
        <v>38.22</v>
      </c>
      <c r="I15" s="9">
        <v>900</v>
      </c>
      <c r="J15" s="9">
        <v>362</v>
      </c>
      <c r="K15" s="9">
        <v>537</v>
      </c>
      <c r="L15" s="9">
        <v>1</v>
      </c>
      <c r="M15" s="36">
        <v>40.270000000000003</v>
      </c>
    </row>
    <row r="16" spans="1:13" x14ac:dyDescent="0.3">
      <c r="A16" s="51" t="s">
        <v>2</v>
      </c>
      <c r="B16" s="65" t="s">
        <v>0</v>
      </c>
      <c r="C16" s="3" t="s">
        <v>3</v>
      </c>
      <c r="D16" s="3">
        <v>900</v>
      </c>
      <c r="E16" s="3">
        <v>424</v>
      </c>
      <c r="F16" s="3">
        <v>476</v>
      </c>
      <c r="G16" s="3">
        <v>0</v>
      </c>
      <c r="H16" s="34">
        <v>47.11</v>
      </c>
      <c r="I16" s="2">
        <v>900</v>
      </c>
      <c r="J16" s="2">
        <v>420</v>
      </c>
      <c r="K16" s="2">
        <v>480</v>
      </c>
      <c r="L16" s="2">
        <v>0</v>
      </c>
      <c r="M16" s="37">
        <v>46.67</v>
      </c>
    </row>
    <row r="17" spans="1:13" x14ac:dyDescent="0.3">
      <c r="A17" s="51"/>
      <c r="B17" s="66"/>
      <c r="C17" s="3" t="s">
        <v>4</v>
      </c>
      <c r="D17" s="3">
        <v>900</v>
      </c>
      <c r="E17" s="3">
        <v>427</v>
      </c>
      <c r="F17" s="3">
        <v>473</v>
      </c>
      <c r="G17" s="3">
        <v>0</v>
      </c>
      <c r="H17" s="34">
        <v>47.44</v>
      </c>
      <c r="I17" s="2">
        <v>900</v>
      </c>
      <c r="J17" s="2">
        <v>415</v>
      </c>
      <c r="K17" s="2">
        <v>485</v>
      </c>
      <c r="L17" s="2">
        <v>0</v>
      </c>
      <c r="M17" s="37">
        <v>46.11</v>
      </c>
    </row>
    <row r="18" spans="1:13" x14ac:dyDescent="0.3">
      <c r="A18" s="51"/>
      <c r="B18" s="66"/>
      <c r="C18" s="3" t="s">
        <v>5</v>
      </c>
      <c r="D18" s="3">
        <v>900</v>
      </c>
      <c r="E18" s="3">
        <v>432</v>
      </c>
      <c r="F18" s="3">
        <v>468</v>
      </c>
      <c r="G18" s="3">
        <v>0</v>
      </c>
      <c r="H18" s="34">
        <v>48</v>
      </c>
      <c r="I18" s="2">
        <v>900</v>
      </c>
      <c r="J18" s="2">
        <v>420</v>
      </c>
      <c r="K18" s="2">
        <v>480</v>
      </c>
      <c r="L18" s="2">
        <v>0</v>
      </c>
      <c r="M18" s="37">
        <v>46.67</v>
      </c>
    </row>
    <row r="19" spans="1:13" x14ac:dyDescent="0.3">
      <c r="A19" s="51"/>
      <c r="B19" s="67"/>
      <c r="C19" s="3" t="s">
        <v>26</v>
      </c>
      <c r="D19" s="3">
        <v>900</v>
      </c>
      <c r="E19" s="3">
        <v>431</v>
      </c>
      <c r="F19" s="3">
        <v>469</v>
      </c>
      <c r="G19" s="3">
        <v>0</v>
      </c>
      <c r="H19" s="34">
        <v>47.89</v>
      </c>
      <c r="I19" s="2">
        <v>900</v>
      </c>
      <c r="J19" s="2">
        <v>430</v>
      </c>
      <c r="K19" s="2">
        <v>470</v>
      </c>
      <c r="L19" s="2">
        <v>0</v>
      </c>
      <c r="M19" s="37">
        <v>47.78</v>
      </c>
    </row>
    <row r="20" spans="1:13" x14ac:dyDescent="0.3">
      <c r="A20" s="51"/>
      <c r="B20" s="65" t="s">
        <v>11</v>
      </c>
      <c r="C20" s="3" t="s">
        <v>3</v>
      </c>
      <c r="D20" s="8">
        <v>900</v>
      </c>
      <c r="E20" s="8">
        <v>411</v>
      </c>
      <c r="F20" s="8">
        <v>487</v>
      </c>
      <c r="G20" s="8">
        <v>2</v>
      </c>
      <c r="H20" s="35">
        <v>45.77</v>
      </c>
      <c r="I20" s="9">
        <v>900</v>
      </c>
      <c r="J20" s="9">
        <v>400</v>
      </c>
      <c r="K20" s="9">
        <v>494</v>
      </c>
      <c r="L20" s="9">
        <v>6</v>
      </c>
      <c r="M20" s="36">
        <v>44.74</v>
      </c>
    </row>
    <row r="21" spans="1:13" x14ac:dyDescent="0.3">
      <c r="A21" s="51"/>
      <c r="B21" s="66"/>
      <c r="C21" s="3" t="s">
        <v>4</v>
      </c>
      <c r="D21" s="8">
        <v>900</v>
      </c>
      <c r="E21" s="8">
        <v>406</v>
      </c>
      <c r="F21" s="8">
        <v>491</v>
      </c>
      <c r="G21" s="8">
        <v>3</v>
      </c>
      <c r="H21" s="35">
        <v>45.26</v>
      </c>
      <c r="I21" s="9">
        <v>900</v>
      </c>
      <c r="J21" s="9">
        <v>420</v>
      </c>
      <c r="K21" s="9">
        <v>476</v>
      </c>
      <c r="L21" s="9">
        <v>4</v>
      </c>
      <c r="M21" s="36">
        <v>46.88</v>
      </c>
    </row>
    <row r="22" spans="1:13" x14ac:dyDescent="0.3">
      <c r="A22" s="51"/>
      <c r="B22" s="66"/>
      <c r="C22" s="3" t="s">
        <v>5</v>
      </c>
      <c r="D22" s="8">
        <v>900</v>
      </c>
      <c r="E22" s="8">
        <v>401</v>
      </c>
      <c r="F22" s="8">
        <v>498</v>
      </c>
      <c r="G22" s="8">
        <v>1</v>
      </c>
      <c r="H22" s="35">
        <v>44.61</v>
      </c>
      <c r="I22" s="9">
        <v>900</v>
      </c>
      <c r="J22" s="9">
        <v>399</v>
      </c>
      <c r="K22" s="9">
        <v>497</v>
      </c>
      <c r="L22" s="9">
        <v>4</v>
      </c>
      <c r="M22" s="36">
        <v>44.53</v>
      </c>
    </row>
    <row r="23" spans="1:13" x14ac:dyDescent="0.3">
      <c r="A23" s="51"/>
      <c r="B23" s="67"/>
      <c r="C23" s="3" t="s">
        <v>26</v>
      </c>
      <c r="D23" s="8">
        <v>900</v>
      </c>
      <c r="E23" s="8">
        <v>402</v>
      </c>
      <c r="F23" s="8">
        <v>495</v>
      </c>
      <c r="G23" s="8">
        <v>3</v>
      </c>
      <c r="H23" s="35">
        <v>44.82</v>
      </c>
      <c r="I23" s="9">
        <v>900</v>
      </c>
      <c r="J23" s="9">
        <v>407</v>
      </c>
      <c r="K23" s="9">
        <v>492</v>
      </c>
      <c r="L23" s="9">
        <v>1</v>
      </c>
      <c r="M23" s="36">
        <v>45.27</v>
      </c>
    </row>
    <row r="24" spans="1:13" x14ac:dyDescent="0.3">
      <c r="A24" s="51"/>
      <c r="B24" s="58" t="s">
        <v>10</v>
      </c>
      <c r="C24" s="3" t="s">
        <v>3</v>
      </c>
      <c r="D24" s="3">
        <v>900</v>
      </c>
      <c r="E24" s="3">
        <v>357</v>
      </c>
      <c r="F24" s="3">
        <v>543</v>
      </c>
      <c r="G24" s="3">
        <v>0</v>
      </c>
      <c r="H24" s="34">
        <v>39.67</v>
      </c>
      <c r="I24" s="2">
        <v>900</v>
      </c>
      <c r="J24" s="2">
        <v>363</v>
      </c>
      <c r="K24" s="2">
        <v>537</v>
      </c>
      <c r="L24" s="2">
        <v>0</v>
      </c>
      <c r="M24" s="37">
        <v>40.33</v>
      </c>
    </row>
    <row r="25" spans="1:13" x14ac:dyDescent="0.3">
      <c r="A25" s="51"/>
      <c r="B25" s="58"/>
      <c r="C25" s="3" t="s">
        <v>4</v>
      </c>
      <c r="D25" s="3">
        <v>900</v>
      </c>
      <c r="E25" s="3">
        <v>360</v>
      </c>
      <c r="F25" s="3">
        <v>540</v>
      </c>
      <c r="G25" s="3">
        <v>0</v>
      </c>
      <c r="H25" s="34">
        <v>40</v>
      </c>
      <c r="I25" s="2">
        <v>900</v>
      </c>
      <c r="J25" s="2">
        <v>357</v>
      </c>
      <c r="K25" s="2">
        <v>543</v>
      </c>
      <c r="L25" s="2">
        <v>0</v>
      </c>
      <c r="M25" s="37">
        <v>39.67</v>
      </c>
    </row>
    <row r="26" spans="1:13" x14ac:dyDescent="0.3">
      <c r="A26" s="51"/>
      <c r="B26" s="58"/>
      <c r="C26" s="3" t="s">
        <v>5</v>
      </c>
      <c r="D26" s="3">
        <v>900</v>
      </c>
      <c r="E26" s="3">
        <v>357</v>
      </c>
      <c r="F26" s="3">
        <v>543</v>
      </c>
      <c r="G26" s="3">
        <v>0</v>
      </c>
      <c r="H26" s="34">
        <v>39.67</v>
      </c>
      <c r="I26" s="2">
        <v>900</v>
      </c>
      <c r="J26" s="2">
        <v>356</v>
      </c>
      <c r="K26" s="2">
        <v>544</v>
      </c>
      <c r="L26" s="2">
        <v>0</v>
      </c>
      <c r="M26" s="37">
        <v>39.56</v>
      </c>
    </row>
    <row r="27" spans="1:13" x14ac:dyDescent="0.3">
      <c r="A27" s="51"/>
      <c r="B27" s="58"/>
      <c r="C27" s="3" t="s">
        <v>26</v>
      </c>
      <c r="D27" s="3">
        <v>900</v>
      </c>
      <c r="E27" s="3">
        <v>356</v>
      </c>
      <c r="F27" s="3">
        <v>544</v>
      </c>
      <c r="G27" s="3">
        <v>0</v>
      </c>
      <c r="H27" s="34">
        <v>39.56</v>
      </c>
      <c r="I27" s="2">
        <v>900</v>
      </c>
      <c r="J27" s="2">
        <v>360</v>
      </c>
      <c r="K27" s="2">
        <v>540</v>
      </c>
      <c r="L27" s="2">
        <v>0</v>
      </c>
      <c r="M27" s="37">
        <v>40</v>
      </c>
    </row>
  </sheetData>
  <mergeCells count="13">
    <mergeCell ref="B16:B19"/>
    <mergeCell ref="B20:B23"/>
    <mergeCell ref="A16:A27"/>
    <mergeCell ref="B24:B27"/>
    <mergeCell ref="D2:H2"/>
    <mergeCell ref="I2:M2"/>
    <mergeCell ref="B4:B7"/>
    <mergeCell ref="A4:A15"/>
    <mergeCell ref="B8:B11"/>
    <mergeCell ref="B12:B15"/>
    <mergeCell ref="A2:A3"/>
    <mergeCell ref="B2:B3"/>
    <mergeCell ref="C2:C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E8E680-8289-4FEA-B186-47589B3D68CD}">
  <dimension ref="A1:E26"/>
  <sheetViews>
    <sheetView topLeftCell="A6" workbookViewId="0">
      <selection activeCell="H29" sqref="H29"/>
    </sheetView>
  </sheetViews>
  <sheetFormatPr baseColWidth="10" defaultRowHeight="14.4" x14ac:dyDescent="0.3"/>
  <cols>
    <col min="4" max="4" width="11.44140625" bestFit="1" customWidth="1"/>
    <col min="5" max="5" width="11.77734375" bestFit="1" customWidth="1"/>
  </cols>
  <sheetData>
    <row r="1" spans="1:5" x14ac:dyDescent="0.3">
      <c r="A1" s="57" t="s">
        <v>19</v>
      </c>
      <c r="B1" s="57" t="s">
        <v>20</v>
      </c>
      <c r="C1" s="57" t="s">
        <v>13</v>
      </c>
      <c r="D1" s="32" t="s">
        <v>27</v>
      </c>
      <c r="E1" s="33" t="s">
        <v>28</v>
      </c>
    </row>
    <row r="2" spans="1:5" ht="28.8" x14ac:dyDescent="0.3">
      <c r="A2" s="57"/>
      <c r="B2" s="57"/>
      <c r="C2" s="57"/>
      <c r="D2" s="7" t="s">
        <v>12</v>
      </c>
      <c r="E2" s="6" t="s">
        <v>12</v>
      </c>
    </row>
    <row r="3" spans="1:5" x14ac:dyDescent="0.3">
      <c r="A3" s="68" t="s">
        <v>1</v>
      </c>
      <c r="B3" s="65" t="s">
        <v>0</v>
      </c>
      <c r="C3" s="3" t="s">
        <v>3</v>
      </c>
      <c r="D3" s="35" t="s">
        <v>29</v>
      </c>
      <c r="E3" s="36">
        <v>45.67</v>
      </c>
    </row>
    <row r="4" spans="1:5" x14ac:dyDescent="0.3">
      <c r="A4" s="69"/>
      <c r="B4" s="66"/>
      <c r="C4" s="3" t="s">
        <v>4</v>
      </c>
      <c r="D4" s="35">
        <v>47.56</v>
      </c>
      <c r="E4" s="36">
        <v>44.72</v>
      </c>
    </row>
    <row r="5" spans="1:5" x14ac:dyDescent="0.3">
      <c r="A5" s="69"/>
      <c r="B5" s="66"/>
      <c r="C5" s="3" t="s">
        <v>5</v>
      </c>
      <c r="D5" s="35">
        <v>46.56</v>
      </c>
      <c r="E5" s="36">
        <v>42.94</v>
      </c>
    </row>
    <row r="6" spans="1:5" x14ac:dyDescent="0.3">
      <c r="A6" s="69"/>
      <c r="B6" s="67"/>
      <c r="C6" s="3" t="s">
        <v>26</v>
      </c>
      <c r="D6" s="35">
        <v>47.67</v>
      </c>
      <c r="E6" s="36">
        <v>45.61</v>
      </c>
    </row>
    <row r="7" spans="1:5" x14ac:dyDescent="0.3">
      <c r="A7" s="69"/>
      <c r="B7" s="65" t="s">
        <v>11</v>
      </c>
      <c r="C7" s="3" t="s">
        <v>3</v>
      </c>
      <c r="D7" s="34">
        <v>44.99</v>
      </c>
      <c r="E7" s="37">
        <v>43.99</v>
      </c>
    </row>
    <row r="8" spans="1:5" x14ac:dyDescent="0.3">
      <c r="A8" s="69"/>
      <c r="B8" s="66"/>
      <c r="C8" s="3" t="s">
        <v>4</v>
      </c>
      <c r="D8" s="34">
        <v>41.74</v>
      </c>
      <c r="E8" s="37">
        <v>44.41</v>
      </c>
    </row>
    <row r="9" spans="1:5" x14ac:dyDescent="0.3">
      <c r="A9" s="69"/>
      <c r="B9" s="66"/>
      <c r="C9" s="3" t="s">
        <v>5</v>
      </c>
      <c r="D9" s="34">
        <v>42.75</v>
      </c>
      <c r="E9" s="37">
        <v>43.7</v>
      </c>
    </row>
    <row r="10" spans="1:5" x14ac:dyDescent="0.3">
      <c r="A10" s="69"/>
      <c r="B10" s="67"/>
      <c r="C10" s="3" t="s">
        <v>26</v>
      </c>
      <c r="D10" s="34">
        <v>43.35</v>
      </c>
      <c r="E10" s="37">
        <v>45.16</v>
      </c>
    </row>
    <row r="11" spans="1:5" x14ac:dyDescent="0.3">
      <c r="A11" s="69"/>
      <c r="B11" s="58" t="s">
        <v>10</v>
      </c>
      <c r="C11" s="3" t="s">
        <v>3</v>
      </c>
      <c r="D11" s="35">
        <v>39.11</v>
      </c>
      <c r="E11" s="36">
        <v>38.979999999999997</v>
      </c>
    </row>
    <row r="12" spans="1:5" x14ac:dyDescent="0.3">
      <c r="A12" s="69"/>
      <c r="B12" s="58"/>
      <c r="C12" s="3" t="s">
        <v>4</v>
      </c>
      <c r="D12" s="35">
        <v>37.22</v>
      </c>
      <c r="E12" s="36">
        <v>37.26</v>
      </c>
    </row>
    <row r="13" spans="1:5" x14ac:dyDescent="0.3">
      <c r="A13" s="69"/>
      <c r="B13" s="58"/>
      <c r="C13" s="3" t="s">
        <v>5</v>
      </c>
      <c r="D13" s="35">
        <v>36.56</v>
      </c>
      <c r="E13" s="36">
        <v>37.49</v>
      </c>
    </row>
    <row r="14" spans="1:5" x14ac:dyDescent="0.3">
      <c r="A14" s="70"/>
      <c r="B14" s="58"/>
      <c r="C14" s="3" t="s">
        <v>26</v>
      </c>
      <c r="D14" s="35">
        <v>38.22</v>
      </c>
      <c r="E14" s="36">
        <v>40.270000000000003</v>
      </c>
    </row>
    <row r="15" spans="1:5" x14ac:dyDescent="0.3">
      <c r="A15" s="51" t="s">
        <v>2</v>
      </c>
      <c r="B15" s="65" t="s">
        <v>0</v>
      </c>
      <c r="C15" s="3" t="s">
        <v>3</v>
      </c>
      <c r="D15" s="34">
        <v>47.11</v>
      </c>
      <c r="E15" s="37">
        <v>46.67</v>
      </c>
    </row>
    <row r="16" spans="1:5" x14ac:dyDescent="0.3">
      <c r="A16" s="51"/>
      <c r="B16" s="66"/>
      <c r="C16" s="3" t="s">
        <v>4</v>
      </c>
      <c r="D16" s="34">
        <v>47.44</v>
      </c>
      <c r="E16" s="37">
        <v>46.11</v>
      </c>
    </row>
    <row r="17" spans="1:5" x14ac:dyDescent="0.3">
      <c r="A17" s="51"/>
      <c r="B17" s="66"/>
      <c r="C17" s="3" t="s">
        <v>5</v>
      </c>
      <c r="D17" s="34">
        <v>48</v>
      </c>
      <c r="E17" s="37">
        <v>46.67</v>
      </c>
    </row>
    <row r="18" spans="1:5" x14ac:dyDescent="0.3">
      <c r="A18" s="51"/>
      <c r="B18" s="67"/>
      <c r="C18" s="3" t="s">
        <v>26</v>
      </c>
      <c r="D18" s="34">
        <v>47.89</v>
      </c>
      <c r="E18" s="37">
        <v>47.78</v>
      </c>
    </row>
    <row r="19" spans="1:5" x14ac:dyDescent="0.3">
      <c r="A19" s="51"/>
      <c r="B19" s="65" t="s">
        <v>11</v>
      </c>
      <c r="C19" s="3" t="s">
        <v>3</v>
      </c>
      <c r="D19" s="35">
        <v>45.77</v>
      </c>
      <c r="E19" s="36">
        <v>44.74</v>
      </c>
    </row>
    <row r="20" spans="1:5" x14ac:dyDescent="0.3">
      <c r="A20" s="51"/>
      <c r="B20" s="66"/>
      <c r="C20" s="3" t="s">
        <v>4</v>
      </c>
      <c r="D20" s="35">
        <v>45.26</v>
      </c>
      <c r="E20" s="36">
        <v>46.88</v>
      </c>
    </row>
    <row r="21" spans="1:5" x14ac:dyDescent="0.3">
      <c r="A21" s="51"/>
      <c r="B21" s="66"/>
      <c r="C21" s="3" t="s">
        <v>5</v>
      </c>
      <c r="D21" s="35">
        <v>44.61</v>
      </c>
      <c r="E21" s="36">
        <v>44.53</v>
      </c>
    </row>
    <row r="22" spans="1:5" x14ac:dyDescent="0.3">
      <c r="A22" s="51"/>
      <c r="B22" s="67"/>
      <c r="C22" s="3" t="s">
        <v>26</v>
      </c>
      <c r="D22" s="35">
        <v>44.82</v>
      </c>
      <c r="E22" s="36">
        <v>45.27</v>
      </c>
    </row>
    <row r="23" spans="1:5" x14ac:dyDescent="0.3">
      <c r="A23" s="51"/>
      <c r="B23" s="58" t="s">
        <v>10</v>
      </c>
      <c r="C23" s="3" t="s">
        <v>3</v>
      </c>
      <c r="D23" s="34">
        <v>39.67</v>
      </c>
      <c r="E23" s="37">
        <v>40.33</v>
      </c>
    </row>
    <row r="24" spans="1:5" x14ac:dyDescent="0.3">
      <c r="A24" s="51"/>
      <c r="B24" s="58"/>
      <c r="C24" s="3" t="s">
        <v>4</v>
      </c>
      <c r="D24" s="34">
        <v>40</v>
      </c>
      <c r="E24" s="37">
        <v>39.67</v>
      </c>
    </row>
    <row r="25" spans="1:5" x14ac:dyDescent="0.3">
      <c r="A25" s="51"/>
      <c r="B25" s="58"/>
      <c r="C25" s="3" t="s">
        <v>5</v>
      </c>
      <c r="D25" s="34">
        <v>39.67</v>
      </c>
      <c r="E25" s="37">
        <v>39.56</v>
      </c>
    </row>
    <row r="26" spans="1:5" x14ac:dyDescent="0.3">
      <c r="A26" s="51"/>
      <c r="B26" s="58"/>
      <c r="C26" s="3" t="s">
        <v>26</v>
      </c>
      <c r="D26" s="34">
        <v>39.56</v>
      </c>
      <c r="E26" s="37">
        <v>40</v>
      </c>
    </row>
  </sheetData>
  <mergeCells count="11">
    <mergeCell ref="C1:C2"/>
    <mergeCell ref="A3:A14"/>
    <mergeCell ref="B3:B6"/>
    <mergeCell ref="B7:B10"/>
    <mergeCell ref="B11:B14"/>
    <mergeCell ref="A15:A26"/>
    <mergeCell ref="B15:B18"/>
    <mergeCell ref="B19:B22"/>
    <mergeCell ref="B23:B26"/>
    <mergeCell ref="A1:A2"/>
    <mergeCell ref="B1:B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F2B102-EF6E-4CDE-93D4-F6A60700D962}">
  <dimension ref="B2:O37"/>
  <sheetViews>
    <sheetView workbookViewId="0">
      <selection activeCell="J11" sqref="J11"/>
    </sheetView>
  </sheetViews>
  <sheetFormatPr baseColWidth="10" defaultRowHeight="14.4" x14ac:dyDescent="0.3"/>
  <sheetData>
    <row r="2" spans="2:7" x14ac:dyDescent="0.3">
      <c r="B2" s="74"/>
      <c r="C2" s="75"/>
      <c r="D2" s="73" t="s">
        <v>40</v>
      </c>
      <c r="E2" s="73"/>
      <c r="F2" s="73" t="s">
        <v>41</v>
      </c>
      <c r="G2" s="73"/>
    </row>
    <row r="3" spans="2:7" x14ac:dyDescent="0.3">
      <c r="B3" s="76"/>
      <c r="C3" s="77"/>
      <c r="D3" s="40" t="s">
        <v>38</v>
      </c>
      <c r="E3" s="40" t="s">
        <v>39</v>
      </c>
      <c r="F3" s="40" t="s">
        <v>38</v>
      </c>
      <c r="G3" s="40" t="s">
        <v>39</v>
      </c>
    </row>
    <row r="4" spans="2:7" x14ac:dyDescent="0.3">
      <c r="B4" s="78" t="s">
        <v>0</v>
      </c>
      <c r="C4" s="39" t="s">
        <v>30</v>
      </c>
      <c r="D4" s="45">
        <v>61.28</v>
      </c>
      <c r="E4" s="45">
        <v>60.26</v>
      </c>
      <c r="F4" s="45">
        <v>58.41</v>
      </c>
      <c r="G4" s="45">
        <v>59.43</v>
      </c>
    </row>
    <row r="5" spans="2:7" x14ac:dyDescent="0.3">
      <c r="B5" s="79"/>
      <c r="C5" s="39" t="s">
        <v>31</v>
      </c>
      <c r="D5" s="45">
        <v>44.09</v>
      </c>
      <c r="E5" s="45">
        <v>43.91</v>
      </c>
      <c r="F5" s="45">
        <v>46</v>
      </c>
      <c r="G5" s="45">
        <v>45.42</v>
      </c>
    </row>
    <row r="6" spans="2:7" x14ac:dyDescent="0.3">
      <c r="B6" s="79"/>
      <c r="C6" s="39" t="s">
        <v>32</v>
      </c>
      <c r="D6" s="45">
        <v>49.4</v>
      </c>
      <c r="E6" s="45">
        <v>48.42</v>
      </c>
      <c r="F6" s="45">
        <v>48.05</v>
      </c>
      <c r="G6" s="45">
        <v>48.46</v>
      </c>
    </row>
    <row r="7" spans="2:7" x14ac:dyDescent="0.3">
      <c r="B7" s="79"/>
      <c r="C7" s="39" t="s">
        <v>33</v>
      </c>
      <c r="D7" s="45">
        <v>36.200000000000003</v>
      </c>
      <c r="E7" s="45">
        <v>32.590000000000003</v>
      </c>
      <c r="F7" s="45">
        <v>32.909999999999997</v>
      </c>
      <c r="G7" s="45">
        <v>32.909999999999997</v>
      </c>
    </row>
    <row r="8" spans="2:7" x14ac:dyDescent="0.3">
      <c r="B8" s="79"/>
      <c r="C8" s="39" t="s">
        <v>34</v>
      </c>
      <c r="D8" s="45">
        <v>47.79</v>
      </c>
      <c r="E8" s="45">
        <v>44.53</v>
      </c>
      <c r="F8" s="45">
        <v>46.11</v>
      </c>
      <c r="G8" s="45">
        <v>41.81</v>
      </c>
    </row>
    <row r="9" spans="2:7" x14ac:dyDescent="0.3">
      <c r="B9" s="79"/>
      <c r="C9" s="39" t="s">
        <v>35</v>
      </c>
      <c r="D9" s="45">
        <v>45.85</v>
      </c>
      <c r="E9" s="45">
        <v>43.82</v>
      </c>
      <c r="F9" s="45">
        <v>44.68</v>
      </c>
      <c r="G9" s="45">
        <v>42.9</v>
      </c>
    </row>
    <row r="10" spans="2:7" x14ac:dyDescent="0.3">
      <c r="B10" s="79"/>
      <c r="C10" s="39" t="s">
        <v>36</v>
      </c>
      <c r="D10" s="45">
        <v>42.53</v>
      </c>
      <c r="E10" s="45">
        <v>41.68</v>
      </c>
      <c r="F10" s="45">
        <v>39.5</v>
      </c>
      <c r="G10" s="38">
        <v>36.880000000000003</v>
      </c>
    </row>
    <row r="11" spans="2:7" x14ac:dyDescent="0.3">
      <c r="B11" s="80"/>
      <c r="C11" s="44" t="s">
        <v>82</v>
      </c>
      <c r="D11" s="46">
        <f>SUM(D4:D10)/7</f>
        <v>46.734285714285711</v>
      </c>
      <c r="E11" s="46">
        <f t="shared" ref="E11:G11" si="0">SUM(E4:E10)/7</f>
        <v>45.029999999999994</v>
      </c>
      <c r="F11" s="46">
        <f t="shared" si="0"/>
        <v>45.094285714285711</v>
      </c>
      <c r="G11" s="46">
        <f t="shared" si="0"/>
        <v>43.972857142857144</v>
      </c>
    </row>
    <row r="12" spans="2:7" x14ac:dyDescent="0.3">
      <c r="B12" s="78" t="s">
        <v>11</v>
      </c>
      <c r="C12" s="39" t="s">
        <v>30</v>
      </c>
      <c r="D12" s="45">
        <v>58.82</v>
      </c>
      <c r="E12" s="45">
        <v>57.55</v>
      </c>
      <c r="F12" s="45">
        <v>55.92</v>
      </c>
      <c r="G12" s="38">
        <v>56.05</v>
      </c>
    </row>
    <row r="13" spans="2:7" x14ac:dyDescent="0.3">
      <c r="B13" s="79"/>
      <c r="C13" s="39" t="s">
        <v>31</v>
      </c>
      <c r="D13" s="45">
        <v>42.72</v>
      </c>
      <c r="E13" s="45">
        <v>43.49</v>
      </c>
      <c r="F13" s="45">
        <v>44.54</v>
      </c>
      <c r="G13" s="38">
        <v>41.75</v>
      </c>
    </row>
    <row r="14" spans="2:7" x14ac:dyDescent="0.3">
      <c r="B14" s="79"/>
      <c r="C14" s="39" t="s">
        <v>32</v>
      </c>
      <c r="D14" s="45">
        <v>45.64</v>
      </c>
      <c r="E14" s="45">
        <v>45.09</v>
      </c>
      <c r="F14" s="45">
        <v>43.3</v>
      </c>
      <c r="G14" s="38">
        <v>45.18</v>
      </c>
    </row>
    <row r="15" spans="2:7" x14ac:dyDescent="0.3">
      <c r="B15" s="79"/>
      <c r="C15" s="39" t="s">
        <v>33</v>
      </c>
      <c r="D15" s="45">
        <v>31.56</v>
      </c>
      <c r="E15" s="45">
        <v>31.04</v>
      </c>
      <c r="F15" s="45">
        <v>30.47</v>
      </c>
      <c r="G15" s="38">
        <v>32.69</v>
      </c>
    </row>
    <row r="16" spans="2:7" x14ac:dyDescent="0.3">
      <c r="B16" s="79"/>
      <c r="C16" s="39" t="s">
        <v>34</v>
      </c>
      <c r="D16" s="45">
        <v>42.74</v>
      </c>
      <c r="E16" s="45">
        <v>43.02</v>
      </c>
      <c r="F16" s="45">
        <v>42.91</v>
      </c>
      <c r="G16" s="38">
        <v>41.89</v>
      </c>
    </row>
    <row r="17" spans="2:15" x14ac:dyDescent="0.3">
      <c r="B17" s="79"/>
      <c r="C17" s="39" t="s">
        <v>35</v>
      </c>
      <c r="D17" s="45">
        <v>44.49</v>
      </c>
      <c r="E17" s="45">
        <v>43.82</v>
      </c>
      <c r="F17" s="45">
        <v>44.39</v>
      </c>
      <c r="G17" s="38">
        <v>43.08</v>
      </c>
    </row>
    <row r="18" spans="2:15" x14ac:dyDescent="0.3">
      <c r="B18" s="79"/>
      <c r="C18" s="39" t="s">
        <v>36</v>
      </c>
      <c r="D18" s="45">
        <v>41.22</v>
      </c>
      <c r="E18" s="45">
        <v>42.75</v>
      </c>
      <c r="F18" s="45">
        <v>37.15</v>
      </c>
      <c r="G18" s="38">
        <v>40.090000000000003</v>
      </c>
    </row>
    <row r="19" spans="2:15" x14ac:dyDescent="0.3">
      <c r="B19" s="80"/>
      <c r="C19" s="44" t="s">
        <v>82</v>
      </c>
      <c r="D19" s="46">
        <f>SUM(D12:D18)/7</f>
        <v>43.884285714285724</v>
      </c>
      <c r="E19" s="46">
        <f t="shared" ref="E19:G19" si="1">SUM(E12:E18)/7</f>
        <v>43.822857142857139</v>
      </c>
      <c r="F19" s="46">
        <f t="shared" si="1"/>
        <v>42.668571428571418</v>
      </c>
      <c r="G19" s="46">
        <f t="shared" si="1"/>
        <v>42.961428571428577</v>
      </c>
    </row>
    <row r="20" spans="2:15" x14ac:dyDescent="0.3">
      <c r="B20" s="71" t="s">
        <v>10</v>
      </c>
      <c r="C20" s="39" t="s">
        <v>30</v>
      </c>
      <c r="D20" s="45">
        <v>54.14</v>
      </c>
      <c r="E20" s="45">
        <v>55.57</v>
      </c>
      <c r="F20" s="45">
        <v>53.57</v>
      </c>
      <c r="G20" s="38">
        <v>54.72</v>
      </c>
    </row>
    <row r="21" spans="2:15" x14ac:dyDescent="0.3">
      <c r="B21" s="71"/>
      <c r="C21" s="39" t="s">
        <v>31</v>
      </c>
      <c r="D21" s="45">
        <v>40.340000000000003</v>
      </c>
      <c r="E21" s="45">
        <v>41.38</v>
      </c>
      <c r="F21" s="45">
        <v>44.56</v>
      </c>
      <c r="G21" s="38">
        <v>44.02</v>
      </c>
    </row>
    <row r="22" spans="2:15" x14ac:dyDescent="0.3">
      <c r="B22" s="71"/>
      <c r="C22" s="39" t="s">
        <v>32</v>
      </c>
      <c r="D22" s="45">
        <v>44.33</v>
      </c>
      <c r="E22" s="45">
        <v>44.53</v>
      </c>
      <c r="F22" s="45">
        <v>44.63</v>
      </c>
      <c r="G22" s="38">
        <v>43.03</v>
      </c>
    </row>
    <row r="23" spans="2:15" x14ac:dyDescent="0.3">
      <c r="B23" s="71"/>
      <c r="C23" s="39" t="s">
        <v>33</v>
      </c>
      <c r="D23" s="45">
        <v>32.340000000000003</v>
      </c>
      <c r="E23" s="45">
        <v>32.479999999999997</v>
      </c>
      <c r="F23" s="45">
        <v>35.06</v>
      </c>
      <c r="G23" s="38">
        <v>31.85</v>
      </c>
    </row>
    <row r="24" spans="2:15" x14ac:dyDescent="0.3">
      <c r="B24" s="71"/>
      <c r="C24" s="39" t="s">
        <v>34</v>
      </c>
      <c r="D24" s="45">
        <v>38.020000000000003</v>
      </c>
      <c r="E24" s="45">
        <v>37.97</v>
      </c>
      <c r="F24" s="45">
        <v>39.78</v>
      </c>
      <c r="G24" s="38">
        <v>39.6</v>
      </c>
    </row>
    <row r="25" spans="2:15" x14ac:dyDescent="0.3">
      <c r="B25" s="71"/>
      <c r="C25" s="39" t="s">
        <v>35</v>
      </c>
      <c r="D25" s="45">
        <v>39.840000000000003</v>
      </c>
      <c r="E25" s="45">
        <v>40.69</v>
      </c>
      <c r="F25" s="45">
        <v>42.44</v>
      </c>
      <c r="G25" s="38">
        <v>41.81</v>
      </c>
    </row>
    <row r="26" spans="2:15" x14ac:dyDescent="0.3">
      <c r="B26" s="71"/>
      <c r="C26" s="39" t="s">
        <v>36</v>
      </c>
      <c r="D26" s="45">
        <v>41.93</v>
      </c>
      <c r="E26" s="45">
        <v>41.95</v>
      </c>
      <c r="F26" s="45">
        <v>41.03</v>
      </c>
      <c r="G26" s="38">
        <v>41.05</v>
      </c>
    </row>
    <row r="27" spans="2:15" x14ac:dyDescent="0.3">
      <c r="B27" s="71"/>
      <c r="C27" s="44" t="s">
        <v>82</v>
      </c>
      <c r="D27" s="46">
        <f>SUM(D20:D26)/7</f>
        <v>41.562857142857141</v>
      </c>
      <c r="E27" s="46">
        <f t="shared" ref="E27:G27" si="2">SUM(E20:E26)/7</f>
        <v>42.081428571428567</v>
      </c>
      <c r="F27" s="46">
        <f t="shared" si="2"/>
        <v>43.009999999999991</v>
      </c>
      <c r="G27" s="46">
        <f t="shared" si="2"/>
        <v>42.297142857142852</v>
      </c>
      <c r="O27" s="50"/>
    </row>
    <row r="28" spans="2:15" x14ac:dyDescent="0.3">
      <c r="B28" s="71" t="s">
        <v>37</v>
      </c>
      <c r="C28" s="39" t="s">
        <v>30</v>
      </c>
      <c r="D28" s="45">
        <v>32.58</v>
      </c>
      <c r="E28" s="45">
        <v>30.59</v>
      </c>
      <c r="F28" s="45">
        <v>30.48</v>
      </c>
      <c r="G28" s="38">
        <v>30.48</v>
      </c>
    </row>
    <row r="29" spans="2:15" x14ac:dyDescent="0.3">
      <c r="B29" s="71"/>
      <c r="C29" s="39" t="s">
        <v>31</v>
      </c>
      <c r="D29" s="45">
        <v>30.59</v>
      </c>
      <c r="E29" s="45">
        <v>29.99</v>
      </c>
      <c r="F29" s="45">
        <v>29.43</v>
      </c>
      <c r="G29" s="38">
        <v>31.61</v>
      </c>
    </row>
    <row r="30" spans="2:15" x14ac:dyDescent="0.3">
      <c r="B30" s="71"/>
      <c r="C30" s="39" t="s">
        <v>32</v>
      </c>
      <c r="D30" s="45">
        <v>29.37</v>
      </c>
      <c r="E30" s="45">
        <v>27.66</v>
      </c>
      <c r="F30" s="45">
        <v>27.09</v>
      </c>
      <c r="G30" s="38">
        <v>28.18</v>
      </c>
    </row>
    <row r="31" spans="2:15" x14ac:dyDescent="0.3">
      <c r="B31" s="71"/>
      <c r="C31" s="39" t="s">
        <v>33</v>
      </c>
      <c r="D31" s="45">
        <v>24.27</v>
      </c>
      <c r="E31" s="45">
        <v>24.85</v>
      </c>
      <c r="F31" s="45">
        <v>26.19</v>
      </c>
      <c r="G31" s="38">
        <v>26.83</v>
      </c>
    </row>
    <row r="32" spans="2:15" x14ac:dyDescent="0.3">
      <c r="B32" s="71"/>
      <c r="C32" s="39" t="s">
        <v>34</v>
      </c>
      <c r="D32" s="45">
        <v>26.53</v>
      </c>
      <c r="E32" s="45">
        <v>25.64</v>
      </c>
      <c r="F32" s="45">
        <v>23.87</v>
      </c>
      <c r="G32" s="38">
        <v>26.18</v>
      </c>
    </row>
    <row r="33" spans="2:7" x14ac:dyDescent="0.3">
      <c r="B33" s="71"/>
      <c r="C33" s="39" t="s">
        <v>35</v>
      </c>
      <c r="D33" s="45">
        <v>27.72</v>
      </c>
      <c r="E33" s="45">
        <v>28.52</v>
      </c>
      <c r="F33" s="45">
        <v>26.81</v>
      </c>
      <c r="G33" s="38">
        <v>26.3</v>
      </c>
    </row>
    <row r="34" spans="2:7" x14ac:dyDescent="0.3">
      <c r="B34" s="71"/>
      <c r="C34" s="39" t="s">
        <v>36</v>
      </c>
      <c r="D34" s="45">
        <v>26.72</v>
      </c>
      <c r="E34" s="45">
        <v>26.93</v>
      </c>
      <c r="F34" s="45">
        <v>29.25</v>
      </c>
      <c r="G34" s="38">
        <v>30.31</v>
      </c>
    </row>
    <row r="35" spans="2:7" x14ac:dyDescent="0.3">
      <c r="B35" s="71"/>
      <c r="C35" s="44" t="s">
        <v>82</v>
      </c>
      <c r="D35" s="46">
        <f>SUM(D28:D34)/7</f>
        <v>28.254285714285714</v>
      </c>
      <c r="E35" s="46">
        <f t="shared" ref="E35:G35" si="3">SUM(E28:E34)/7</f>
        <v>27.740000000000006</v>
      </c>
      <c r="F35" s="46">
        <f t="shared" si="3"/>
        <v>27.588571428571431</v>
      </c>
      <c r="G35" s="46">
        <f t="shared" si="3"/>
        <v>28.555714285714288</v>
      </c>
    </row>
    <row r="36" spans="2:7" x14ac:dyDescent="0.3">
      <c r="B36" s="72" t="s">
        <v>83</v>
      </c>
      <c r="C36" s="72"/>
      <c r="D36" s="47">
        <f>SUM(D4:D34)/28</f>
        <v>44.829693877551009</v>
      </c>
      <c r="E36" s="47">
        <f t="shared" ref="E36:G36" si="4">SUM(E4:E34)/28</f>
        <v>44.34479591836736</v>
      </c>
      <c r="F36" s="47">
        <f t="shared" si="4"/>
        <v>44.260816326530616</v>
      </c>
      <c r="G36" s="47">
        <f t="shared" si="4"/>
        <v>44.062193877551017</v>
      </c>
    </row>
    <row r="37" spans="2:7" x14ac:dyDescent="0.3">
      <c r="D37" s="48"/>
      <c r="E37" s="48"/>
      <c r="F37" s="48"/>
      <c r="G37" s="48"/>
    </row>
  </sheetData>
  <mergeCells count="8">
    <mergeCell ref="B28:B35"/>
    <mergeCell ref="B36:C36"/>
    <mergeCell ref="D2:E2"/>
    <mergeCell ref="F2:G2"/>
    <mergeCell ref="B2:C3"/>
    <mergeCell ref="B4:B11"/>
    <mergeCell ref="B12:B19"/>
    <mergeCell ref="B20:B27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976774-B886-42C2-BCA4-6B8DB700A5AB}">
  <dimension ref="A1:K29"/>
  <sheetViews>
    <sheetView topLeftCell="A8" workbookViewId="0">
      <selection activeCell="J4" sqref="J4"/>
    </sheetView>
  </sheetViews>
  <sheetFormatPr baseColWidth="10" defaultRowHeight="14.4" x14ac:dyDescent="0.3"/>
  <cols>
    <col min="1" max="1" width="12.44140625" bestFit="1" customWidth="1"/>
    <col min="2" max="2" width="9" bestFit="1" customWidth="1"/>
    <col min="3" max="3" width="10" bestFit="1" customWidth="1"/>
    <col min="4" max="4" width="7.33203125" bestFit="1" customWidth="1"/>
    <col min="5" max="5" width="5" bestFit="1" customWidth="1"/>
    <col min="6" max="6" width="13.77734375" bestFit="1" customWidth="1"/>
    <col min="7" max="7" width="7.109375" bestFit="1" customWidth="1"/>
    <col min="8" max="8" width="5.88671875" bestFit="1" customWidth="1"/>
    <col min="9" max="9" width="9.88671875" bestFit="1" customWidth="1"/>
    <col min="10" max="10" width="11.88671875" bestFit="1" customWidth="1"/>
    <col min="11" max="11" width="65.44140625" bestFit="1" customWidth="1"/>
  </cols>
  <sheetData>
    <row r="1" spans="1:11" x14ac:dyDescent="0.3">
      <c r="A1" s="49" t="s">
        <v>42</v>
      </c>
      <c r="B1" s="49" t="s">
        <v>19</v>
      </c>
      <c r="C1" s="49" t="s">
        <v>20</v>
      </c>
      <c r="D1" s="49" t="s">
        <v>13</v>
      </c>
      <c r="E1" s="49" t="s">
        <v>43</v>
      </c>
      <c r="F1" s="49" t="s">
        <v>44</v>
      </c>
      <c r="G1" s="49" t="s">
        <v>45</v>
      </c>
      <c r="H1" s="49" t="s">
        <v>46</v>
      </c>
      <c r="I1" s="49" t="s">
        <v>47</v>
      </c>
      <c r="J1" s="49" t="s">
        <v>12</v>
      </c>
      <c r="K1" s="49" t="s">
        <v>84</v>
      </c>
    </row>
    <row r="2" spans="1:11" x14ac:dyDescent="0.3">
      <c r="A2" t="s">
        <v>48</v>
      </c>
      <c r="B2" t="s">
        <v>1</v>
      </c>
      <c r="C2" t="s">
        <v>0</v>
      </c>
      <c r="D2" t="s">
        <v>26</v>
      </c>
      <c r="E2" t="s">
        <v>50</v>
      </c>
      <c r="F2">
        <v>1025</v>
      </c>
      <c r="G2">
        <v>614</v>
      </c>
      <c r="H2">
        <v>359</v>
      </c>
      <c r="I2">
        <v>23</v>
      </c>
      <c r="J2">
        <v>61.28</v>
      </c>
      <c r="K2" t="s">
        <v>85</v>
      </c>
    </row>
    <row r="3" spans="1:11" x14ac:dyDescent="0.3">
      <c r="A3" t="s">
        <v>48</v>
      </c>
      <c r="B3" t="s">
        <v>1</v>
      </c>
      <c r="C3" t="s">
        <v>11</v>
      </c>
      <c r="D3" t="s">
        <v>26</v>
      </c>
      <c r="E3" t="s">
        <v>50</v>
      </c>
      <c r="F3">
        <v>1025</v>
      </c>
      <c r="G3">
        <v>580</v>
      </c>
      <c r="H3">
        <v>377</v>
      </c>
      <c r="I3">
        <v>39</v>
      </c>
      <c r="J3">
        <v>58.82</v>
      </c>
      <c r="K3" t="s">
        <v>92</v>
      </c>
    </row>
    <row r="4" spans="1:11" x14ac:dyDescent="0.3">
      <c r="A4" t="s">
        <v>48</v>
      </c>
      <c r="B4" t="s">
        <v>1</v>
      </c>
      <c r="C4" t="s">
        <v>10</v>
      </c>
      <c r="D4" t="s">
        <v>26</v>
      </c>
      <c r="E4" t="s">
        <v>50</v>
      </c>
      <c r="F4">
        <v>1025</v>
      </c>
      <c r="G4">
        <v>543</v>
      </c>
      <c r="H4">
        <v>431</v>
      </c>
      <c r="I4">
        <v>22</v>
      </c>
      <c r="J4">
        <v>54.14</v>
      </c>
      <c r="K4" t="s">
        <v>93</v>
      </c>
    </row>
    <row r="5" spans="1:11" x14ac:dyDescent="0.3">
      <c r="A5" t="s">
        <v>48</v>
      </c>
      <c r="B5" t="s">
        <v>1</v>
      </c>
      <c r="C5" t="s">
        <v>37</v>
      </c>
      <c r="D5" t="s">
        <v>26</v>
      </c>
      <c r="E5" t="s">
        <v>50</v>
      </c>
      <c r="F5">
        <v>1025</v>
      </c>
      <c r="G5">
        <v>301</v>
      </c>
      <c r="H5">
        <v>598</v>
      </c>
      <c r="I5">
        <v>101</v>
      </c>
      <c r="J5">
        <v>32.58</v>
      </c>
      <c r="K5" t="s">
        <v>94</v>
      </c>
    </row>
    <row r="6" spans="1:11" x14ac:dyDescent="0.3">
      <c r="A6" t="s">
        <v>55</v>
      </c>
      <c r="B6" t="s">
        <v>1</v>
      </c>
      <c r="C6" t="s">
        <v>0</v>
      </c>
      <c r="D6" t="s">
        <v>26</v>
      </c>
      <c r="E6" t="s">
        <v>50</v>
      </c>
      <c r="F6">
        <v>967</v>
      </c>
      <c r="G6">
        <v>418</v>
      </c>
      <c r="H6">
        <v>511</v>
      </c>
      <c r="I6">
        <v>19</v>
      </c>
      <c r="J6">
        <v>44.09</v>
      </c>
      <c r="K6" t="s">
        <v>86</v>
      </c>
    </row>
    <row r="7" spans="1:11" x14ac:dyDescent="0.3">
      <c r="A7" t="s">
        <v>55</v>
      </c>
      <c r="B7" t="s">
        <v>1</v>
      </c>
      <c r="C7" t="s">
        <v>11</v>
      </c>
      <c r="D7" t="s">
        <v>26</v>
      </c>
      <c r="E7" t="s">
        <v>50</v>
      </c>
      <c r="F7">
        <v>967</v>
      </c>
      <c r="G7">
        <v>399</v>
      </c>
      <c r="H7">
        <v>516</v>
      </c>
      <c r="I7">
        <v>33</v>
      </c>
      <c r="J7">
        <v>42.72</v>
      </c>
      <c r="K7" t="s">
        <v>95</v>
      </c>
    </row>
    <row r="8" spans="1:11" x14ac:dyDescent="0.3">
      <c r="A8" t="s">
        <v>55</v>
      </c>
      <c r="B8" t="s">
        <v>1</v>
      </c>
      <c r="C8" t="s">
        <v>10</v>
      </c>
      <c r="D8" t="s">
        <v>26</v>
      </c>
      <c r="E8" t="s">
        <v>50</v>
      </c>
      <c r="F8">
        <v>967</v>
      </c>
      <c r="G8">
        <v>382</v>
      </c>
      <c r="H8">
        <v>546</v>
      </c>
      <c r="I8">
        <v>20</v>
      </c>
      <c r="J8">
        <v>40.340000000000003</v>
      </c>
      <c r="K8" t="s">
        <v>96</v>
      </c>
    </row>
    <row r="9" spans="1:11" x14ac:dyDescent="0.3">
      <c r="A9" t="s">
        <v>55</v>
      </c>
      <c r="B9" t="s">
        <v>1</v>
      </c>
      <c r="C9" t="s">
        <v>37</v>
      </c>
      <c r="D9" t="s">
        <v>26</v>
      </c>
      <c r="E9" t="s">
        <v>50</v>
      </c>
      <c r="F9">
        <v>967</v>
      </c>
      <c r="G9">
        <v>249</v>
      </c>
      <c r="H9">
        <v>547</v>
      </c>
      <c r="I9">
        <v>153</v>
      </c>
      <c r="J9">
        <v>30.59</v>
      </c>
      <c r="K9" t="s">
        <v>97</v>
      </c>
    </row>
    <row r="10" spans="1:11" x14ac:dyDescent="0.3">
      <c r="A10" t="s">
        <v>32</v>
      </c>
      <c r="B10" t="s">
        <v>1</v>
      </c>
      <c r="C10" t="s">
        <v>0</v>
      </c>
      <c r="D10" t="s">
        <v>26</v>
      </c>
      <c r="E10" t="s">
        <v>50</v>
      </c>
      <c r="F10">
        <v>1025</v>
      </c>
      <c r="G10">
        <v>492</v>
      </c>
      <c r="H10">
        <v>488</v>
      </c>
      <c r="I10">
        <v>29</v>
      </c>
      <c r="J10">
        <v>49.4</v>
      </c>
      <c r="K10" t="s">
        <v>87</v>
      </c>
    </row>
    <row r="11" spans="1:11" x14ac:dyDescent="0.3">
      <c r="A11" t="s">
        <v>32</v>
      </c>
      <c r="B11" t="s">
        <v>1</v>
      </c>
      <c r="C11" t="s">
        <v>11</v>
      </c>
      <c r="D11" t="s">
        <v>26</v>
      </c>
      <c r="E11" t="s">
        <v>50</v>
      </c>
      <c r="F11">
        <v>1025</v>
      </c>
      <c r="G11">
        <v>445</v>
      </c>
      <c r="H11">
        <v>514</v>
      </c>
      <c r="I11">
        <v>50</v>
      </c>
      <c r="J11">
        <v>45.64</v>
      </c>
      <c r="K11" t="s">
        <v>98</v>
      </c>
    </row>
    <row r="12" spans="1:11" x14ac:dyDescent="0.3">
      <c r="A12" t="s">
        <v>32</v>
      </c>
      <c r="B12" t="s">
        <v>1</v>
      </c>
      <c r="C12" t="s">
        <v>10</v>
      </c>
      <c r="D12" t="s">
        <v>26</v>
      </c>
      <c r="E12" t="s">
        <v>50</v>
      </c>
      <c r="F12">
        <v>1025</v>
      </c>
      <c r="G12">
        <v>442</v>
      </c>
      <c r="H12">
        <v>539</v>
      </c>
      <c r="I12">
        <v>28</v>
      </c>
      <c r="J12">
        <v>44.33</v>
      </c>
      <c r="K12" t="s">
        <v>99</v>
      </c>
    </row>
    <row r="13" spans="1:11" x14ac:dyDescent="0.3">
      <c r="A13" t="s">
        <v>32</v>
      </c>
      <c r="B13" t="s">
        <v>1</v>
      </c>
      <c r="C13" t="s">
        <v>37</v>
      </c>
      <c r="D13" t="s">
        <v>26</v>
      </c>
      <c r="E13" t="s">
        <v>50</v>
      </c>
      <c r="F13">
        <v>1025</v>
      </c>
      <c r="G13">
        <v>262</v>
      </c>
      <c r="H13">
        <v>617</v>
      </c>
      <c r="I13">
        <v>133</v>
      </c>
      <c r="J13">
        <v>29.37</v>
      </c>
      <c r="K13" t="s">
        <v>100</v>
      </c>
    </row>
    <row r="14" spans="1:11" x14ac:dyDescent="0.3">
      <c r="A14" t="s">
        <v>63</v>
      </c>
      <c r="B14" t="s">
        <v>1</v>
      </c>
      <c r="C14" t="s">
        <v>0</v>
      </c>
      <c r="D14" t="s">
        <v>26</v>
      </c>
      <c r="E14" t="s">
        <v>50</v>
      </c>
      <c r="F14">
        <v>1025</v>
      </c>
      <c r="G14">
        <v>362</v>
      </c>
      <c r="H14">
        <v>626</v>
      </c>
      <c r="I14">
        <v>25</v>
      </c>
      <c r="J14">
        <v>36.200000000000003</v>
      </c>
      <c r="K14" t="s">
        <v>88</v>
      </c>
    </row>
    <row r="15" spans="1:11" x14ac:dyDescent="0.3">
      <c r="A15" t="s">
        <v>63</v>
      </c>
      <c r="B15" t="s">
        <v>1</v>
      </c>
      <c r="C15" t="s">
        <v>11</v>
      </c>
      <c r="D15" t="s">
        <v>26</v>
      </c>
      <c r="E15" t="s">
        <v>50</v>
      </c>
      <c r="F15">
        <v>1025</v>
      </c>
      <c r="G15">
        <v>315</v>
      </c>
      <c r="H15">
        <v>671</v>
      </c>
      <c r="I15">
        <v>27</v>
      </c>
      <c r="J15">
        <v>31.56</v>
      </c>
      <c r="K15" t="s">
        <v>101</v>
      </c>
    </row>
    <row r="16" spans="1:11" x14ac:dyDescent="0.3">
      <c r="A16" t="s">
        <v>63</v>
      </c>
      <c r="B16" t="s">
        <v>1</v>
      </c>
      <c r="C16" t="s">
        <v>10</v>
      </c>
      <c r="D16" t="s">
        <v>26</v>
      </c>
      <c r="E16" t="s">
        <v>50</v>
      </c>
      <c r="F16">
        <v>1025</v>
      </c>
      <c r="G16">
        <v>326</v>
      </c>
      <c r="H16">
        <v>670</v>
      </c>
      <c r="I16">
        <v>17</v>
      </c>
      <c r="J16">
        <v>32.340000000000003</v>
      </c>
      <c r="K16" t="s">
        <v>102</v>
      </c>
    </row>
    <row r="17" spans="1:11" x14ac:dyDescent="0.3">
      <c r="A17" t="s">
        <v>63</v>
      </c>
      <c r="B17" t="s">
        <v>1</v>
      </c>
      <c r="C17" t="s">
        <v>37</v>
      </c>
      <c r="D17" t="s">
        <v>26</v>
      </c>
      <c r="E17" t="s">
        <v>50</v>
      </c>
      <c r="F17">
        <v>1025</v>
      </c>
      <c r="G17">
        <v>216</v>
      </c>
      <c r="H17">
        <v>663</v>
      </c>
      <c r="I17">
        <v>135</v>
      </c>
      <c r="J17">
        <v>24.27</v>
      </c>
      <c r="K17" t="s">
        <v>103</v>
      </c>
    </row>
    <row r="18" spans="1:11" x14ac:dyDescent="0.3">
      <c r="A18" t="s">
        <v>34</v>
      </c>
      <c r="B18" t="s">
        <v>1</v>
      </c>
      <c r="C18" t="s">
        <v>0</v>
      </c>
      <c r="D18" t="s">
        <v>26</v>
      </c>
      <c r="E18" t="s">
        <v>50</v>
      </c>
      <c r="F18">
        <v>900</v>
      </c>
      <c r="G18">
        <v>421</v>
      </c>
      <c r="H18">
        <v>443</v>
      </c>
      <c r="I18">
        <v>19</v>
      </c>
      <c r="J18">
        <v>47.79</v>
      </c>
      <c r="K18" t="s">
        <v>89</v>
      </c>
    </row>
    <row r="19" spans="1:11" x14ac:dyDescent="0.3">
      <c r="A19" t="s">
        <v>34</v>
      </c>
      <c r="B19" t="s">
        <v>1</v>
      </c>
      <c r="C19" t="s">
        <v>11</v>
      </c>
      <c r="D19" t="s">
        <v>26</v>
      </c>
      <c r="E19" t="s">
        <v>50</v>
      </c>
      <c r="F19">
        <v>900</v>
      </c>
      <c r="G19">
        <v>374</v>
      </c>
      <c r="H19">
        <v>484</v>
      </c>
      <c r="I19">
        <v>25</v>
      </c>
      <c r="J19">
        <v>42.74</v>
      </c>
      <c r="K19" t="s">
        <v>104</v>
      </c>
    </row>
    <row r="20" spans="1:11" x14ac:dyDescent="0.3">
      <c r="A20" t="s">
        <v>34</v>
      </c>
      <c r="B20" t="s">
        <v>1</v>
      </c>
      <c r="C20" t="s">
        <v>10</v>
      </c>
      <c r="D20" t="s">
        <v>26</v>
      </c>
      <c r="E20" t="s">
        <v>50</v>
      </c>
      <c r="F20">
        <v>900</v>
      </c>
      <c r="G20">
        <v>335</v>
      </c>
      <c r="H20">
        <v>529</v>
      </c>
      <c r="I20">
        <v>19</v>
      </c>
      <c r="J20">
        <v>38.020000000000003</v>
      </c>
      <c r="K20" t="s">
        <v>105</v>
      </c>
    </row>
    <row r="21" spans="1:11" x14ac:dyDescent="0.3">
      <c r="A21" t="s">
        <v>34</v>
      </c>
      <c r="B21" t="s">
        <v>1</v>
      </c>
      <c r="C21" t="s">
        <v>37</v>
      </c>
      <c r="D21" t="s">
        <v>26</v>
      </c>
      <c r="E21" t="s">
        <v>50</v>
      </c>
      <c r="F21">
        <v>900</v>
      </c>
      <c r="G21">
        <v>182</v>
      </c>
      <c r="H21">
        <v>488</v>
      </c>
      <c r="I21">
        <v>214</v>
      </c>
      <c r="J21">
        <v>26.53</v>
      </c>
      <c r="K21" t="s">
        <v>106</v>
      </c>
    </row>
    <row r="22" spans="1:11" x14ac:dyDescent="0.3">
      <c r="A22" t="s">
        <v>72</v>
      </c>
      <c r="B22" t="s">
        <v>1</v>
      </c>
      <c r="C22" t="s">
        <v>0</v>
      </c>
      <c r="D22" t="s">
        <v>26</v>
      </c>
      <c r="E22" t="s">
        <v>50</v>
      </c>
      <c r="F22">
        <v>1025</v>
      </c>
      <c r="G22">
        <v>458</v>
      </c>
      <c r="H22">
        <v>509</v>
      </c>
      <c r="I22">
        <v>26</v>
      </c>
      <c r="J22">
        <v>45.85</v>
      </c>
      <c r="K22" t="s">
        <v>90</v>
      </c>
    </row>
    <row r="23" spans="1:11" x14ac:dyDescent="0.3">
      <c r="A23" t="s">
        <v>72</v>
      </c>
      <c r="B23" t="s">
        <v>1</v>
      </c>
      <c r="C23" t="s">
        <v>11</v>
      </c>
      <c r="D23" t="s">
        <v>26</v>
      </c>
      <c r="E23" t="s">
        <v>50</v>
      </c>
      <c r="F23">
        <v>1025</v>
      </c>
      <c r="G23">
        <v>440</v>
      </c>
      <c r="H23">
        <v>517</v>
      </c>
      <c r="I23">
        <v>36</v>
      </c>
      <c r="J23">
        <v>44.49</v>
      </c>
      <c r="K23" t="s">
        <v>107</v>
      </c>
    </row>
    <row r="24" spans="1:11" x14ac:dyDescent="0.3">
      <c r="A24" t="s">
        <v>72</v>
      </c>
      <c r="B24" t="s">
        <v>1</v>
      </c>
      <c r="C24" t="s">
        <v>10</v>
      </c>
      <c r="D24" t="s">
        <v>26</v>
      </c>
      <c r="E24" t="s">
        <v>50</v>
      </c>
      <c r="F24">
        <v>1025</v>
      </c>
      <c r="G24">
        <v>398</v>
      </c>
      <c r="H24">
        <v>569</v>
      </c>
      <c r="I24">
        <v>26</v>
      </c>
      <c r="J24">
        <v>39.840000000000003</v>
      </c>
      <c r="K24" t="s">
        <v>108</v>
      </c>
    </row>
    <row r="25" spans="1:11" x14ac:dyDescent="0.3">
      <c r="A25" t="s">
        <v>72</v>
      </c>
      <c r="B25" t="s">
        <v>1</v>
      </c>
      <c r="C25" t="s">
        <v>37</v>
      </c>
      <c r="D25" t="s">
        <v>26</v>
      </c>
      <c r="E25" t="s">
        <v>50</v>
      </c>
      <c r="F25">
        <v>1025</v>
      </c>
      <c r="G25">
        <v>250</v>
      </c>
      <c r="H25">
        <v>622</v>
      </c>
      <c r="I25">
        <v>123</v>
      </c>
      <c r="J25">
        <v>27.72</v>
      </c>
      <c r="K25" t="s">
        <v>109</v>
      </c>
    </row>
    <row r="26" spans="1:11" x14ac:dyDescent="0.3">
      <c r="A26" t="s">
        <v>77</v>
      </c>
      <c r="B26" t="s">
        <v>1</v>
      </c>
      <c r="C26" t="s">
        <v>0</v>
      </c>
      <c r="D26" t="s">
        <v>26</v>
      </c>
      <c r="E26" t="s">
        <v>50</v>
      </c>
      <c r="F26">
        <v>1010</v>
      </c>
      <c r="G26">
        <v>410</v>
      </c>
      <c r="H26">
        <v>532</v>
      </c>
      <c r="I26">
        <v>46</v>
      </c>
      <c r="J26">
        <v>42.53</v>
      </c>
      <c r="K26" t="s">
        <v>91</v>
      </c>
    </row>
    <row r="27" spans="1:11" x14ac:dyDescent="0.3">
      <c r="A27" t="s">
        <v>77</v>
      </c>
      <c r="B27" t="s">
        <v>1</v>
      </c>
      <c r="C27" t="s">
        <v>11</v>
      </c>
      <c r="D27" t="s">
        <v>26</v>
      </c>
      <c r="E27" t="s">
        <v>50</v>
      </c>
      <c r="F27">
        <v>1010</v>
      </c>
      <c r="G27">
        <v>392</v>
      </c>
      <c r="H27">
        <v>537</v>
      </c>
      <c r="I27">
        <v>59</v>
      </c>
      <c r="J27">
        <v>41.22</v>
      </c>
      <c r="K27" t="s">
        <v>110</v>
      </c>
    </row>
    <row r="28" spans="1:11" x14ac:dyDescent="0.3">
      <c r="A28" t="s">
        <v>77</v>
      </c>
      <c r="B28" t="s">
        <v>1</v>
      </c>
      <c r="C28" t="s">
        <v>10</v>
      </c>
      <c r="D28" t="s">
        <v>26</v>
      </c>
      <c r="E28" t="s">
        <v>50</v>
      </c>
      <c r="F28">
        <v>1010</v>
      </c>
      <c r="G28">
        <v>405</v>
      </c>
      <c r="H28">
        <v>539</v>
      </c>
      <c r="I28">
        <v>44</v>
      </c>
      <c r="J28">
        <v>41.93</v>
      </c>
      <c r="K28" t="s">
        <v>111</v>
      </c>
    </row>
    <row r="29" spans="1:11" x14ac:dyDescent="0.3">
      <c r="A29" t="s">
        <v>77</v>
      </c>
      <c r="B29" t="s">
        <v>1</v>
      </c>
      <c r="C29" t="s">
        <v>37</v>
      </c>
      <c r="D29" t="s">
        <v>26</v>
      </c>
      <c r="E29" t="s">
        <v>50</v>
      </c>
      <c r="F29">
        <v>1010</v>
      </c>
      <c r="G29">
        <v>237</v>
      </c>
      <c r="H29">
        <v>629</v>
      </c>
      <c r="I29">
        <v>123</v>
      </c>
      <c r="J29">
        <v>26.72</v>
      </c>
      <c r="K29" t="s">
        <v>112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780BD7-D155-48C2-B260-19EE9E011C5E}">
  <dimension ref="A1:J29"/>
  <sheetViews>
    <sheetView workbookViewId="0">
      <selection activeCell="J29" activeCellId="2" sqref="J21 J25 J29"/>
    </sheetView>
  </sheetViews>
  <sheetFormatPr baseColWidth="10" defaultRowHeight="14.4" x14ac:dyDescent="0.3"/>
  <sheetData>
    <row r="1" spans="1:10" ht="27" thickBot="1" x14ac:dyDescent="0.35">
      <c r="A1" s="41" t="s">
        <v>42</v>
      </c>
      <c r="B1" s="41" t="s">
        <v>19</v>
      </c>
      <c r="C1" s="41" t="s">
        <v>20</v>
      </c>
      <c r="D1" s="41" t="s">
        <v>13</v>
      </c>
      <c r="E1" s="41" t="s">
        <v>43</v>
      </c>
      <c r="F1" s="41" t="s">
        <v>44</v>
      </c>
      <c r="G1" s="41" t="s">
        <v>45</v>
      </c>
      <c r="H1" s="41" t="s">
        <v>46</v>
      </c>
      <c r="I1" s="41" t="s">
        <v>47</v>
      </c>
      <c r="J1" s="41" t="s">
        <v>12</v>
      </c>
    </row>
    <row r="2" spans="1:10" x14ac:dyDescent="0.3">
      <c r="A2" s="42" t="s">
        <v>48</v>
      </c>
      <c r="B2" s="42" t="s">
        <v>49</v>
      </c>
      <c r="C2" s="42" t="s">
        <v>0</v>
      </c>
      <c r="D2" s="42" t="s">
        <v>26</v>
      </c>
      <c r="E2" s="42" t="s">
        <v>50</v>
      </c>
      <c r="F2" s="43">
        <v>1025</v>
      </c>
      <c r="G2" s="43">
        <v>597</v>
      </c>
      <c r="H2" s="43">
        <v>396</v>
      </c>
      <c r="I2" s="43">
        <v>3</v>
      </c>
      <c r="J2" s="43" t="s">
        <v>51</v>
      </c>
    </row>
    <row r="3" spans="1:10" x14ac:dyDescent="0.3">
      <c r="A3" s="42" t="s">
        <v>48</v>
      </c>
      <c r="B3" s="42" t="s">
        <v>49</v>
      </c>
      <c r="C3" s="42" t="s">
        <v>11</v>
      </c>
      <c r="D3" s="42" t="s">
        <v>26</v>
      </c>
      <c r="E3" s="42" t="s">
        <v>50</v>
      </c>
      <c r="F3" s="43">
        <v>1025</v>
      </c>
      <c r="G3" s="43">
        <v>557</v>
      </c>
      <c r="H3" s="43">
        <v>410</v>
      </c>
      <c r="I3" s="43">
        <v>29</v>
      </c>
      <c r="J3" s="43" t="s">
        <v>52</v>
      </c>
    </row>
    <row r="4" spans="1:10" x14ac:dyDescent="0.3">
      <c r="A4" s="42" t="s">
        <v>48</v>
      </c>
      <c r="B4" s="42" t="s">
        <v>49</v>
      </c>
      <c r="C4" s="42" t="s">
        <v>10</v>
      </c>
      <c r="D4" s="42" t="s">
        <v>26</v>
      </c>
      <c r="E4" s="42" t="s">
        <v>50</v>
      </c>
      <c r="F4" s="43">
        <v>1025</v>
      </c>
      <c r="G4" s="43">
        <v>548</v>
      </c>
      <c r="H4" s="43">
        <v>446</v>
      </c>
      <c r="I4" s="43">
        <v>2</v>
      </c>
      <c r="J4" s="43" t="s">
        <v>53</v>
      </c>
    </row>
    <row r="5" spans="1:10" x14ac:dyDescent="0.3">
      <c r="A5" s="42" t="s">
        <v>48</v>
      </c>
      <c r="B5" s="42" t="s">
        <v>49</v>
      </c>
      <c r="C5" s="42" t="s">
        <v>37</v>
      </c>
      <c r="D5" s="42" t="s">
        <v>26</v>
      </c>
      <c r="E5" s="42" t="s">
        <v>50</v>
      </c>
      <c r="F5" s="43">
        <v>1025</v>
      </c>
      <c r="G5" s="43">
        <v>281</v>
      </c>
      <c r="H5" s="43">
        <v>621</v>
      </c>
      <c r="I5" s="43">
        <v>103</v>
      </c>
      <c r="J5" s="43" t="s">
        <v>54</v>
      </c>
    </row>
    <row r="6" spans="1:10" x14ac:dyDescent="0.3">
      <c r="A6" s="42" t="s">
        <v>55</v>
      </c>
      <c r="B6" s="42" t="s">
        <v>49</v>
      </c>
      <c r="C6" s="42" t="s">
        <v>0</v>
      </c>
      <c r="D6" s="42" t="s">
        <v>26</v>
      </c>
      <c r="E6" s="42" t="s">
        <v>50</v>
      </c>
      <c r="F6" s="43">
        <v>967</v>
      </c>
      <c r="G6" s="43">
        <v>443</v>
      </c>
      <c r="H6" s="43">
        <v>500</v>
      </c>
      <c r="I6" s="43">
        <v>4</v>
      </c>
      <c r="J6" s="43">
        <v>46</v>
      </c>
    </row>
    <row r="7" spans="1:10" x14ac:dyDescent="0.3">
      <c r="A7" s="42" t="s">
        <v>55</v>
      </c>
      <c r="B7" s="42" t="s">
        <v>49</v>
      </c>
      <c r="C7" s="42" t="s">
        <v>11</v>
      </c>
      <c r="D7" s="42" t="s">
        <v>26</v>
      </c>
      <c r="E7" s="42" t="s">
        <v>50</v>
      </c>
      <c r="F7" s="43">
        <v>967</v>
      </c>
      <c r="G7" s="43">
        <v>416</v>
      </c>
      <c r="H7" s="43">
        <v>499</v>
      </c>
      <c r="I7" s="43">
        <v>33</v>
      </c>
      <c r="J7" s="43" t="s">
        <v>56</v>
      </c>
    </row>
    <row r="8" spans="1:10" x14ac:dyDescent="0.3">
      <c r="A8" s="42" t="s">
        <v>55</v>
      </c>
      <c r="B8" s="42" t="s">
        <v>49</v>
      </c>
      <c r="C8" s="42" t="s">
        <v>10</v>
      </c>
      <c r="D8" s="42" t="s">
        <v>26</v>
      </c>
      <c r="E8" s="42" t="s">
        <v>50</v>
      </c>
      <c r="F8" s="43">
        <v>967</v>
      </c>
      <c r="G8" s="43">
        <v>430</v>
      </c>
      <c r="H8" s="43">
        <v>515</v>
      </c>
      <c r="I8" s="43">
        <v>2</v>
      </c>
      <c r="J8" s="43" t="s">
        <v>57</v>
      </c>
    </row>
    <row r="9" spans="1:10" x14ac:dyDescent="0.3">
      <c r="A9" s="42" t="s">
        <v>55</v>
      </c>
      <c r="B9" s="42" t="s">
        <v>49</v>
      </c>
      <c r="C9" s="42" t="s">
        <v>37</v>
      </c>
      <c r="D9" s="42" t="s">
        <v>26</v>
      </c>
      <c r="E9" s="42" t="s">
        <v>50</v>
      </c>
      <c r="F9" s="43">
        <v>967</v>
      </c>
      <c r="G9" s="43">
        <v>251</v>
      </c>
      <c r="H9" s="43">
        <v>583</v>
      </c>
      <c r="I9" s="43">
        <v>114</v>
      </c>
      <c r="J9" s="43" t="s">
        <v>58</v>
      </c>
    </row>
    <row r="10" spans="1:10" x14ac:dyDescent="0.3">
      <c r="A10" s="42" t="s">
        <v>32</v>
      </c>
      <c r="B10" s="42" t="s">
        <v>49</v>
      </c>
      <c r="C10" s="42" t="s">
        <v>0</v>
      </c>
      <c r="D10" s="42" t="s">
        <v>26</v>
      </c>
      <c r="E10" s="42" t="s">
        <v>50</v>
      </c>
      <c r="F10" s="43">
        <v>1025</v>
      </c>
      <c r="G10" s="43">
        <v>492</v>
      </c>
      <c r="H10" s="43">
        <v>516</v>
      </c>
      <c r="I10" s="43">
        <v>1</v>
      </c>
      <c r="J10" s="43" t="s">
        <v>59</v>
      </c>
    </row>
    <row r="11" spans="1:10" x14ac:dyDescent="0.3">
      <c r="A11" s="42" t="s">
        <v>32</v>
      </c>
      <c r="B11" s="42" t="s">
        <v>49</v>
      </c>
      <c r="C11" s="42" t="s">
        <v>11</v>
      </c>
      <c r="D11" s="42" t="s">
        <v>26</v>
      </c>
      <c r="E11" s="42" t="s">
        <v>50</v>
      </c>
      <c r="F11" s="43">
        <v>1025</v>
      </c>
      <c r="G11" s="43">
        <v>433</v>
      </c>
      <c r="H11" s="43">
        <v>551</v>
      </c>
      <c r="I11" s="43">
        <v>25</v>
      </c>
      <c r="J11" s="43" t="s">
        <v>60</v>
      </c>
    </row>
    <row r="12" spans="1:10" x14ac:dyDescent="0.3">
      <c r="A12" s="42" t="s">
        <v>32</v>
      </c>
      <c r="B12" s="42" t="s">
        <v>49</v>
      </c>
      <c r="C12" s="42" t="s">
        <v>10</v>
      </c>
      <c r="D12" s="42" t="s">
        <v>26</v>
      </c>
      <c r="E12" s="42" t="s">
        <v>50</v>
      </c>
      <c r="F12" s="43">
        <v>1025</v>
      </c>
      <c r="G12" s="43">
        <v>457</v>
      </c>
      <c r="H12" s="43">
        <v>551</v>
      </c>
      <c r="I12" s="43">
        <v>1</v>
      </c>
      <c r="J12" s="43" t="s">
        <v>61</v>
      </c>
    </row>
    <row r="13" spans="1:10" x14ac:dyDescent="0.3">
      <c r="A13" s="42" t="s">
        <v>32</v>
      </c>
      <c r="B13" s="42" t="s">
        <v>49</v>
      </c>
      <c r="C13" s="42" t="s">
        <v>37</v>
      </c>
      <c r="D13" s="42" t="s">
        <v>26</v>
      </c>
      <c r="E13" s="42" t="s">
        <v>50</v>
      </c>
      <c r="F13" s="43">
        <v>1025</v>
      </c>
      <c r="G13" s="43">
        <v>249</v>
      </c>
      <c r="H13" s="43">
        <v>656</v>
      </c>
      <c r="I13" s="43">
        <v>106</v>
      </c>
      <c r="J13" s="43" t="s">
        <v>62</v>
      </c>
    </row>
    <row r="14" spans="1:10" x14ac:dyDescent="0.3">
      <c r="A14" s="42" t="s">
        <v>63</v>
      </c>
      <c r="B14" s="42" t="s">
        <v>49</v>
      </c>
      <c r="C14" s="42" t="s">
        <v>0</v>
      </c>
      <c r="D14" s="42" t="s">
        <v>26</v>
      </c>
      <c r="E14" s="42" t="s">
        <v>50</v>
      </c>
      <c r="F14" s="43">
        <v>1025</v>
      </c>
      <c r="G14" s="43">
        <v>335</v>
      </c>
      <c r="H14" s="43">
        <v>671</v>
      </c>
      <c r="I14" s="43">
        <v>7</v>
      </c>
      <c r="J14" s="43" t="s">
        <v>64</v>
      </c>
    </row>
    <row r="15" spans="1:10" x14ac:dyDescent="0.3">
      <c r="A15" s="42" t="s">
        <v>63</v>
      </c>
      <c r="B15" s="42" t="s">
        <v>49</v>
      </c>
      <c r="C15" s="42" t="s">
        <v>11</v>
      </c>
      <c r="D15" s="42" t="s">
        <v>26</v>
      </c>
      <c r="E15" s="42" t="s">
        <v>50</v>
      </c>
      <c r="F15" s="43">
        <v>1025</v>
      </c>
      <c r="G15" s="43">
        <v>302</v>
      </c>
      <c r="H15" s="43">
        <v>677</v>
      </c>
      <c r="I15" s="43">
        <v>34</v>
      </c>
      <c r="J15" s="43" t="s">
        <v>65</v>
      </c>
    </row>
    <row r="16" spans="1:10" x14ac:dyDescent="0.3">
      <c r="A16" s="42" t="s">
        <v>63</v>
      </c>
      <c r="B16" s="42" t="s">
        <v>49</v>
      </c>
      <c r="C16" s="42" t="s">
        <v>10</v>
      </c>
      <c r="D16" s="42" t="s">
        <v>26</v>
      </c>
      <c r="E16" s="42" t="s">
        <v>50</v>
      </c>
      <c r="F16" s="43">
        <v>1025</v>
      </c>
      <c r="G16" s="43">
        <v>359</v>
      </c>
      <c r="H16" s="43">
        <v>653</v>
      </c>
      <c r="I16" s="43">
        <v>1</v>
      </c>
      <c r="J16" s="43" t="s">
        <v>66</v>
      </c>
    </row>
    <row r="17" spans="1:10" x14ac:dyDescent="0.3">
      <c r="A17" s="42" t="s">
        <v>63</v>
      </c>
      <c r="B17" s="42" t="s">
        <v>49</v>
      </c>
      <c r="C17" s="42" t="s">
        <v>37</v>
      </c>
      <c r="D17" s="42" t="s">
        <v>26</v>
      </c>
      <c r="E17" s="42" t="s">
        <v>50</v>
      </c>
      <c r="F17" s="43">
        <v>1025</v>
      </c>
      <c r="G17" s="43">
        <v>243</v>
      </c>
      <c r="H17" s="43">
        <v>673</v>
      </c>
      <c r="I17" s="43">
        <v>97</v>
      </c>
      <c r="J17" s="43" t="s">
        <v>67</v>
      </c>
    </row>
    <row r="18" spans="1:10" x14ac:dyDescent="0.3">
      <c r="A18" s="42" t="s">
        <v>34</v>
      </c>
      <c r="B18" s="42" t="s">
        <v>49</v>
      </c>
      <c r="C18" s="42" t="s">
        <v>0</v>
      </c>
      <c r="D18" s="42" t="s">
        <v>26</v>
      </c>
      <c r="E18" s="42" t="s">
        <v>50</v>
      </c>
      <c r="F18" s="43">
        <v>900</v>
      </c>
      <c r="G18" s="43">
        <v>415</v>
      </c>
      <c r="H18" s="43">
        <v>467</v>
      </c>
      <c r="I18" s="43">
        <v>0</v>
      </c>
      <c r="J18" s="43" t="s">
        <v>68</v>
      </c>
    </row>
    <row r="19" spans="1:10" x14ac:dyDescent="0.3">
      <c r="A19" s="42" t="s">
        <v>34</v>
      </c>
      <c r="B19" s="42" t="s">
        <v>49</v>
      </c>
      <c r="C19" s="42" t="s">
        <v>11</v>
      </c>
      <c r="D19" s="42" t="s">
        <v>26</v>
      </c>
      <c r="E19" s="42" t="s">
        <v>50</v>
      </c>
      <c r="F19" s="43">
        <v>900</v>
      </c>
      <c r="G19" s="43">
        <v>378</v>
      </c>
      <c r="H19" s="43">
        <v>486</v>
      </c>
      <c r="I19" s="43">
        <v>19</v>
      </c>
      <c r="J19" s="43" t="s">
        <v>69</v>
      </c>
    </row>
    <row r="20" spans="1:10" x14ac:dyDescent="0.3">
      <c r="A20" s="42" t="s">
        <v>34</v>
      </c>
      <c r="B20" s="42" t="s">
        <v>49</v>
      </c>
      <c r="C20" s="42" t="s">
        <v>10</v>
      </c>
      <c r="D20" s="42" t="s">
        <v>26</v>
      </c>
      <c r="E20" s="42" t="s">
        <v>50</v>
      </c>
      <c r="F20" s="43">
        <v>900</v>
      </c>
      <c r="G20" s="43">
        <v>358</v>
      </c>
      <c r="H20" s="43">
        <v>524</v>
      </c>
      <c r="I20" s="43">
        <v>0</v>
      </c>
      <c r="J20" s="43" t="s">
        <v>70</v>
      </c>
    </row>
    <row r="21" spans="1:10" x14ac:dyDescent="0.3">
      <c r="A21" s="42" t="s">
        <v>34</v>
      </c>
      <c r="B21" s="42" t="s">
        <v>49</v>
      </c>
      <c r="C21" s="42" t="s">
        <v>37</v>
      </c>
      <c r="D21" s="42" t="s">
        <v>26</v>
      </c>
      <c r="E21" s="42" t="s">
        <v>50</v>
      </c>
      <c r="F21" s="43">
        <v>900</v>
      </c>
      <c r="G21" s="43">
        <v>174</v>
      </c>
      <c r="H21" s="43">
        <v>538</v>
      </c>
      <c r="I21" s="43">
        <v>171</v>
      </c>
      <c r="J21" s="43" t="s">
        <v>71</v>
      </c>
    </row>
    <row r="22" spans="1:10" x14ac:dyDescent="0.3">
      <c r="A22" s="42" t="s">
        <v>72</v>
      </c>
      <c r="B22" s="42" t="s">
        <v>49</v>
      </c>
      <c r="C22" s="42" t="s">
        <v>0</v>
      </c>
      <c r="D22" s="42" t="s">
        <v>26</v>
      </c>
      <c r="E22" s="42" t="s">
        <v>50</v>
      </c>
      <c r="F22" s="43">
        <v>1025</v>
      </c>
      <c r="G22" s="43">
        <v>458</v>
      </c>
      <c r="H22" s="43">
        <v>535</v>
      </c>
      <c r="I22" s="43">
        <v>0</v>
      </c>
      <c r="J22" s="43" t="s">
        <v>73</v>
      </c>
    </row>
    <row r="23" spans="1:10" x14ac:dyDescent="0.3">
      <c r="A23" s="42" t="s">
        <v>72</v>
      </c>
      <c r="B23" s="42" t="s">
        <v>49</v>
      </c>
      <c r="C23" s="42" t="s">
        <v>11</v>
      </c>
      <c r="D23" s="42" t="s">
        <v>26</v>
      </c>
      <c r="E23" s="42" t="s">
        <v>50</v>
      </c>
      <c r="F23" s="43">
        <v>1025</v>
      </c>
      <c r="G23" s="43">
        <v>435</v>
      </c>
      <c r="H23" s="43">
        <v>514</v>
      </c>
      <c r="I23" s="43">
        <v>45</v>
      </c>
      <c r="J23" s="43" t="s">
        <v>74</v>
      </c>
    </row>
    <row r="24" spans="1:10" x14ac:dyDescent="0.3">
      <c r="A24" s="42" t="s">
        <v>72</v>
      </c>
      <c r="B24" s="42" t="s">
        <v>49</v>
      </c>
      <c r="C24" s="42" t="s">
        <v>10</v>
      </c>
      <c r="D24" s="42" t="s">
        <v>26</v>
      </c>
      <c r="E24" s="42" t="s">
        <v>50</v>
      </c>
      <c r="F24" s="43">
        <v>1025</v>
      </c>
      <c r="G24" s="43">
        <v>435</v>
      </c>
      <c r="H24" s="43">
        <v>558</v>
      </c>
      <c r="I24" s="43">
        <v>0</v>
      </c>
      <c r="J24" s="43" t="s">
        <v>75</v>
      </c>
    </row>
    <row r="25" spans="1:10" x14ac:dyDescent="0.3">
      <c r="A25" s="42" t="s">
        <v>72</v>
      </c>
      <c r="B25" s="42" t="s">
        <v>49</v>
      </c>
      <c r="C25" s="42" t="s">
        <v>37</v>
      </c>
      <c r="D25" s="42" t="s">
        <v>26</v>
      </c>
      <c r="E25" s="42" t="s">
        <v>50</v>
      </c>
      <c r="F25" s="43">
        <v>1025</v>
      </c>
      <c r="G25" s="43">
        <v>248</v>
      </c>
      <c r="H25" s="43">
        <v>648</v>
      </c>
      <c r="I25" s="43">
        <v>100</v>
      </c>
      <c r="J25" s="43" t="s">
        <v>76</v>
      </c>
    </row>
    <row r="26" spans="1:10" x14ac:dyDescent="0.3">
      <c r="A26" s="42" t="s">
        <v>77</v>
      </c>
      <c r="B26" s="42" t="s">
        <v>49</v>
      </c>
      <c r="C26" s="42" t="s">
        <v>0</v>
      </c>
      <c r="D26" s="42" t="s">
        <v>26</v>
      </c>
      <c r="E26" s="42" t="s">
        <v>50</v>
      </c>
      <c r="F26" s="43">
        <v>1010</v>
      </c>
      <c r="G26" s="43">
        <v>397</v>
      </c>
      <c r="H26" s="43">
        <v>585</v>
      </c>
      <c r="I26" s="43">
        <v>5</v>
      </c>
      <c r="J26" s="43" t="s">
        <v>78</v>
      </c>
    </row>
    <row r="27" spans="1:10" x14ac:dyDescent="0.3">
      <c r="A27" s="42" t="s">
        <v>77</v>
      </c>
      <c r="B27" s="42" t="s">
        <v>49</v>
      </c>
      <c r="C27" s="42" t="s">
        <v>11</v>
      </c>
      <c r="D27" s="42" t="s">
        <v>26</v>
      </c>
      <c r="E27" s="42" t="s">
        <v>50</v>
      </c>
      <c r="F27" s="43">
        <v>1010</v>
      </c>
      <c r="G27" s="43">
        <v>360</v>
      </c>
      <c r="H27" s="43">
        <v>586</v>
      </c>
      <c r="I27" s="43">
        <v>41</v>
      </c>
      <c r="J27" s="43" t="s">
        <v>79</v>
      </c>
    </row>
    <row r="28" spans="1:10" x14ac:dyDescent="0.3">
      <c r="A28" s="42" t="s">
        <v>77</v>
      </c>
      <c r="B28" s="42" t="s">
        <v>49</v>
      </c>
      <c r="C28" s="42" t="s">
        <v>10</v>
      </c>
      <c r="D28" s="42" t="s">
        <v>26</v>
      </c>
      <c r="E28" s="42" t="s">
        <v>50</v>
      </c>
      <c r="F28" s="43">
        <v>1010</v>
      </c>
      <c r="G28" s="43">
        <v>414</v>
      </c>
      <c r="H28" s="43">
        <v>572</v>
      </c>
      <c r="I28" s="43">
        <v>1</v>
      </c>
      <c r="J28" s="43" t="s">
        <v>80</v>
      </c>
    </row>
    <row r="29" spans="1:10" x14ac:dyDescent="0.3">
      <c r="A29" s="42" t="s">
        <v>77</v>
      </c>
      <c r="B29" s="42" t="s">
        <v>49</v>
      </c>
      <c r="C29" s="42" t="s">
        <v>37</v>
      </c>
      <c r="D29" s="42" t="s">
        <v>26</v>
      </c>
      <c r="E29" s="42" t="s">
        <v>50</v>
      </c>
      <c r="F29" s="43">
        <v>1010</v>
      </c>
      <c r="G29" s="43">
        <v>270</v>
      </c>
      <c r="H29" s="43">
        <v>632</v>
      </c>
      <c r="I29" s="43">
        <v>87</v>
      </c>
      <c r="J29" s="43" t="s">
        <v>81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CCAB2C-D98A-413B-9AF6-4C5D959603B6}">
  <sheetPr filterMode="1"/>
  <dimension ref="A1:K57"/>
  <sheetViews>
    <sheetView tabSelected="1" workbookViewId="0">
      <selection activeCell="I58" sqref="I58"/>
    </sheetView>
  </sheetViews>
  <sheetFormatPr baseColWidth="10" defaultRowHeight="14.4" x14ac:dyDescent="0.3"/>
  <sheetData>
    <row r="1" spans="1:11" x14ac:dyDescent="0.3">
      <c r="A1" s="49" t="s">
        <v>42</v>
      </c>
      <c r="B1" s="49" t="s">
        <v>19</v>
      </c>
      <c r="C1" s="49" t="s">
        <v>20</v>
      </c>
      <c r="D1" s="49" t="s">
        <v>13</v>
      </c>
      <c r="E1" s="49" t="s">
        <v>43</v>
      </c>
      <c r="F1" s="49" t="s">
        <v>44</v>
      </c>
      <c r="G1" s="49" t="s">
        <v>45</v>
      </c>
      <c r="H1" s="49" t="s">
        <v>46</v>
      </c>
      <c r="I1" s="49" t="s">
        <v>47</v>
      </c>
      <c r="J1" s="49" t="s">
        <v>12</v>
      </c>
      <c r="K1" s="49" t="s">
        <v>84</v>
      </c>
    </row>
    <row r="2" spans="1:11" hidden="1" x14ac:dyDescent="0.3">
      <c r="A2" t="s">
        <v>48</v>
      </c>
      <c r="B2" t="s">
        <v>1</v>
      </c>
      <c r="C2" t="s">
        <v>0</v>
      </c>
      <c r="D2" t="s">
        <v>26</v>
      </c>
      <c r="E2" t="s">
        <v>113</v>
      </c>
      <c r="F2">
        <v>1025</v>
      </c>
      <c r="G2">
        <v>605</v>
      </c>
      <c r="H2">
        <v>371</v>
      </c>
      <c r="I2">
        <v>21</v>
      </c>
      <c r="J2">
        <v>60.26</v>
      </c>
      <c r="K2" t="s">
        <v>114</v>
      </c>
    </row>
    <row r="3" spans="1:11" hidden="1" x14ac:dyDescent="0.3">
      <c r="A3" t="s">
        <v>48</v>
      </c>
      <c r="B3" t="s">
        <v>49</v>
      </c>
      <c r="C3" t="s">
        <v>0</v>
      </c>
      <c r="D3" t="s">
        <v>26</v>
      </c>
      <c r="E3" t="s">
        <v>113</v>
      </c>
      <c r="F3">
        <v>1025</v>
      </c>
      <c r="G3">
        <v>601</v>
      </c>
      <c r="H3">
        <v>382</v>
      </c>
      <c r="I3">
        <v>14</v>
      </c>
      <c r="J3">
        <v>59.45</v>
      </c>
      <c r="K3" t="s">
        <v>115</v>
      </c>
    </row>
    <row r="4" spans="1:11" hidden="1" x14ac:dyDescent="0.3">
      <c r="A4" t="s">
        <v>48</v>
      </c>
      <c r="B4" t="s">
        <v>1</v>
      </c>
      <c r="C4" t="s">
        <v>11</v>
      </c>
      <c r="D4" t="s">
        <v>26</v>
      </c>
      <c r="E4" t="s">
        <v>113</v>
      </c>
      <c r="F4">
        <v>1025</v>
      </c>
      <c r="G4">
        <v>568</v>
      </c>
      <c r="H4">
        <v>391</v>
      </c>
      <c r="I4">
        <v>38</v>
      </c>
      <c r="J4">
        <v>57.55</v>
      </c>
      <c r="K4" t="s">
        <v>116</v>
      </c>
    </row>
    <row r="5" spans="1:11" hidden="1" x14ac:dyDescent="0.3">
      <c r="A5" t="s">
        <v>48</v>
      </c>
      <c r="B5" t="s">
        <v>49</v>
      </c>
      <c r="C5" t="s">
        <v>11</v>
      </c>
      <c r="D5" t="s">
        <v>26</v>
      </c>
      <c r="E5" t="s">
        <v>113</v>
      </c>
      <c r="F5">
        <v>1025</v>
      </c>
      <c r="G5">
        <v>537</v>
      </c>
      <c r="H5">
        <v>395</v>
      </c>
      <c r="I5">
        <v>67</v>
      </c>
      <c r="J5">
        <v>56.05</v>
      </c>
      <c r="K5" t="s">
        <v>117</v>
      </c>
    </row>
    <row r="6" spans="1:11" hidden="1" x14ac:dyDescent="0.3">
      <c r="A6" t="s">
        <v>48</v>
      </c>
      <c r="B6" t="s">
        <v>1</v>
      </c>
      <c r="C6" t="s">
        <v>10</v>
      </c>
      <c r="D6" t="s">
        <v>26</v>
      </c>
      <c r="E6" t="s">
        <v>113</v>
      </c>
      <c r="F6">
        <v>1025</v>
      </c>
      <c r="G6">
        <v>559</v>
      </c>
      <c r="H6">
        <v>419</v>
      </c>
      <c r="I6">
        <v>19</v>
      </c>
      <c r="J6">
        <v>55.57</v>
      </c>
      <c r="K6" t="s">
        <v>118</v>
      </c>
    </row>
    <row r="7" spans="1:11" x14ac:dyDescent="0.3">
      <c r="A7" t="s">
        <v>48</v>
      </c>
      <c r="B7" t="s">
        <v>49</v>
      </c>
      <c r="C7" t="s">
        <v>10</v>
      </c>
      <c r="D7" t="s">
        <v>26</v>
      </c>
      <c r="E7" t="s">
        <v>113</v>
      </c>
      <c r="F7">
        <v>1025</v>
      </c>
      <c r="G7">
        <v>556</v>
      </c>
      <c r="H7">
        <v>431</v>
      </c>
      <c r="I7">
        <v>9</v>
      </c>
      <c r="J7">
        <v>54.72</v>
      </c>
      <c r="K7" t="s">
        <v>119</v>
      </c>
    </row>
    <row r="8" spans="1:11" hidden="1" x14ac:dyDescent="0.3">
      <c r="A8" t="s">
        <v>48</v>
      </c>
      <c r="B8" t="s">
        <v>1</v>
      </c>
      <c r="C8" t="s">
        <v>37</v>
      </c>
      <c r="D8" t="s">
        <v>26</v>
      </c>
      <c r="E8" t="s">
        <v>113</v>
      </c>
      <c r="F8">
        <v>1025</v>
      </c>
      <c r="G8">
        <v>260</v>
      </c>
      <c r="H8">
        <v>567</v>
      </c>
      <c r="I8">
        <v>175</v>
      </c>
      <c r="J8">
        <v>30.59</v>
      </c>
      <c r="K8" t="s">
        <v>120</v>
      </c>
    </row>
    <row r="9" spans="1:11" hidden="1" x14ac:dyDescent="0.3">
      <c r="A9" t="s">
        <v>48</v>
      </c>
      <c r="B9" t="s">
        <v>49</v>
      </c>
      <c r="C9" t="s">
        <v>37</v>
      </c>
      <c r="D9" t="s">
        <v>26</v>
      </c>
      <c r="E9" t="s">
        <v>113</v>
      </c>
      <c r="F9">
        <v>1025</v>
      </c>
      <c r="G9">
        <v>277</v>
      </c>
      <c r="H9">
        <v>589</v>
      </c>
      <c r="I9">
        <v>133</v>
      </c>
      <c r="J9">
        <v>31.05</v>
      </c>
      <c r="K9" t="s">
        <v>121</v>
      </c>
    </row>
    <row r="10" spans="1:11" hidden="1" x14ac:dyDescent="0.3">
      <c r="A10" t="s">
        <v>55</v>
      </c>
      <c r="B10" t="s">
        <v>1</v>
      </c>
      <c r="C10" t="s">
        <v>0</v>
      </c>
      <c r="D10" t="s">
        <v>26</v>
      </c>
      <c r="E10" t="s">
        <v>113</v>
      </c>
      <c r="F10">
        <v>967</v>
      </c>
      <c r="G10">
        <v>418</v>
      </c>
      <c r="H10">
        <v>514</v>
      </c>
      <c r="I10">
        <v>15</v>
      </c>
      <c r="J10">
        <v>43.91</v>
      </c>
      <c r="K10" t="s">
        <v>122</v>
      </c>
    </row>
    <row r="11" spans="1:11" hidden="1" x14ac:dyDescent="0.3">
      <c r="A11" t="s">
        <v>55</v>
      </c>
      <c r="B11" t="s">
        <v>49</v>
      </c>
      <c r="C11" t="s">
        <v>0</v>
      </c>
      <c r="D11" t="s">
        <v>26</v>
      </c>
      <c r="E11" t="s">
        <v>113</v>
      </c>
      <c r="F11">
        <v>967</v>
      </c>
      <c r="G11">
        <v>431</v>
      </c>
      <c r="H11">
        <v>498</v>
      </c>
      <c r="I11">
        <v>18</v>
      </c>
      <c r="J11">
        <v>45.42</v>
      </c>
      <c r="K11" t="s">
        <v>123</v>
      </c>
    </row>
    <row r="12" spans="1:11" hidden="1" x14ac:dyDescent="0.3">
      <c r="A12" t="s">
        <v>55</v>
      </c>
      <c r="B12" t="s">
        <v>1</v>
      </c>
      <c r="C12" t="s">
        <v>11</v>
      </c>
      <c r="D12" t="s">
        <v>26</v>
      </c>
      <c r="E12" t="s">
        <v>113</v>
      </c>
      <c r="F12">
        <v>967</v>
      </c>
      <c r="G12">
        <v>411</v>
      </c>
      <c r="H12">
        <v>514</v>
      </c>
      <c r="I12">
        <v>22</v>
      </c>
      <c r="J12">
        <v>43.49</v>
      </c>
      <c r="K12" t="s">
        <v>124</v>
      </c>
    </row>
    <row r="13" spans="1:11" hidden="1" x14ac:dyDescent="0.3">
      <c r="A13" t="s">
        <v>55</v>
      </c>
      <c r="B13" t="s">
        <v>49</v>
      </c>
      <c r="C13" t="s">
        <v>11</v>
      </c>
      <c r="D13" t="s">
        <v>26</v>
      </c>
      <c r="E13" t="s">
        <v>113</v>
      </c>
      <c r="F13">
        <v>967</v>
      </c>
      <c r="G13">
        <v>372</v>
      </c>
      <c r="H13">
        <v>502</v>
      </c>
      <c r="I13">
        <v>76</v>
      </c>
      <c r="J13">
        <v>41.75</v>
      </c>
      <c r="K13" t="s">
        <v>125</v>
      </c>
    </row>
    <row r="14" spans="1:11" hidden="1" x14ac:dyDescent="0.3">
      <c r="A14" t="s">
        <v>55</v>
      </c>
      <c r="B14" t="s">
        <v>1</v>
      </c>
      <c r="C14" t="s">
        <v>10</v>
      </c>
      <c r="D14" t="s">
        <v>26</v>
      </c>
      <c r="E14" t="s">
        <v>113</v>
      </c>
      <c r="F14">
        <v>967</v>
      </c>
      <c r="G14">
        <v>396</v>
      </c>
      <c r="H14">
        <v>541</v>
      </c>
      <c r="I14">
        <v>10</v>
      </c>
      <c r="J14">
        <v>41.38</v>
      </c>
      <c r="K14" t="s">
        <v>126</v>
      </c>
    </row>
    <row r="15" spans="1:11" x14ac:dyDescent="0.3">
      <c r="A15" t="s">
        <v>55</v>
      </c>
      <c r="B15" t="s">
        <v>49</v>
      </c>
      <c r="C15" t="s">
        <v>10</v>
      </c>
      <c r="D15" t="s">
        <v>26</v>
      </c>
      <c r="E15" t="s">
        <v>113</v>
      </c>
      <c r="F15">
        <v>967</v>
      </c>
      <c r="G15">
        <v>416</v>
      </c>
      <c r="H15">
        <v>509</v>
      </c>
      <c r="I15">
        <v>22</v>
      </c>
      <c r="J15">
        <v>44.02</v>
      </c>
      <c r="K15" t="s">
        <v>127</v>
      </c>
    </row>
    <row r="16" spans="1:11" hidden="1" x14ac:dyDescent="0.3">
      <c r="A16" t="s">
        <v>55</v>
      </c>
      <c r="B16" t="s">
        <v>1</v>
      </c>
      <c r="C16" t="s">
        <v>37</v>
      </c>
      <c r="D16" t="s">
        <v>26</v>
      </c>
      <c r="E16" t="s">
        <v>113</v>
      </c>
      <c r="F16">
        <v>967</v>
      </c>
      <c r="G16">
        <v>233</v>
      </c>
      <c r="H16">
        <v>528</v>
      </c>
      <c r="I16">
        <v>190</v>
      </c>
      <c r="J16">
        <v>29.99</v>
      </c>
      <c r="K16" t="s">
        <v>128</v>
      </c>
    </row>
    <row r="17" spans="1:11" hidden="1" x14ac:dyDescent="0.3">
      <c r="A17" t="s">
        <v>55</v>
      </c>
      <c r="B17" t="s">
        <v>49</v>
      </c>
      <c r="C17" t="s">
        <v>37</v>
      </c>
      <c r="D17" t="s">
        <v>26</v>
      </c>
      <c r="E17" t="s">
        <v>113</v>
      </c>
      <c r="F17">
        <v>967</v>
      </c>
      <c r="G17">
        <v>250</v>
      </c>
      <c r="H17">
        <v>526</v>
      </c>
      <c r="I17">
        <v>176</v>
      </c>
      <c r="J17">
        <v>31.61</v>
      </c>
      <c r="K17" t="s">
        <v>129</v>
      </c>
    </row>
    <row r="18" spans="1:11" hidden="1" x14ac:dyDescent="0.3">
      <c r="A18" t="s">
        <v>32</v>
      </c>
      <c r="B18" t="s">
        <v>1</v>
      </c>
      <c r="C18" t="s">
        <v>0</v>
      </c>
      <c r="D18" t="s">
        <v>26</v>
      </c>
      <c r="E18" t="s">
        <v>113</v>
      </c>
      <c r="F18">
        <v>1025</v>
      </c>
      <c r="G18">
        <v>491</v>
      </c>
      <c r="H18">
        <v>507</v>
      </c>
      <c r="I18">
        <v>11</v>
      </c>
      <c r="J18">
        <v>48.42</v>
      </c>
      <c r="K18" t="s">
        <v>130</v>
      </c>
    </row>
    <row r="19" spans="1:11" hidden="1" x14ac:dyDescent="0.3">
      <c r="A19" t="s">
        <v>32</v>
      </c>
      <c r="B19" t="s">
        <v>49</v>
      </c>
      <c r="C19" t="s">
        <v>0</v>
      </c>
      <c r="D19" t="s">
        <v>26</v>
      </c>
      <c r="E19" t="s">
        <v>113</v>
      </c>
      <c r="F19">
        <v>1025</v>
      </c>
      <c r="G19">
        <v>488</v>
      </c>
      <c r="H19">
        <v>505</v>
      </c>
      <c r="I19">
        <v>18</v>
      </c>
      <c r="J19">
        <v>48.46</v>
      </c>
      <c r="K19" t="s">
        <v>131</v>
      </c>
    </row>
    <row r="20" spans="1:11" hidden="1" x14ac:dyDescent="0.3">
      <c r="A20" t="s">
        <v>32</v>
      </c>
      <c r="B20" t="s">
        <v>1</v>
      </c>
      <c r="C20" t="s">
        <v>11</v>
      </c>
      <c r="D20" t="s">
        <v>26</v>
      </c>
      <c r="E20" t="s">
        <v>113</v>
      </c>
      <c r="F20">
        <v>1025</v>
      </c>
      <c r="G20">
        <v>450</v>
      </c>
      <c r="H20">
        <v>532</v>
      </c>
      <c r="I20">
        <v>27</v>
      </c>
      <c r="J20">
        <v>45.09</v>
      </c>
      <c r="K20" t="s">
        <v>132</v>
      </c>
    </row>
    <row r="21" spans="1:11" hidden="1" x14ac:dyDescent="0.3">
      <c r="A21" t="s">
        <v>32</v>
      </c>
      <c r="B21" t="s">
        <v>49</v>
      </c>
      <c r="C21" t="s">
        <v>11</v>
      </c>
      <c r="D21" t="s">
        <v>26</v>
      </c>
      <c r="E21" t="s">
        <v>113</v>
      </c>
      <c r="F21">
        <v>1025</v>
      </c>
      <c r="G21">
        <v>441</v>
      </c>
      <c r="H21">
        <v>520</v>
      </c>
      <c r="I21">
        <v>49</v>
      </c>
      <c r="J21">
        <v>45.18</v>
      </c>
      <c r="K21" t="s">
        <v>133</v>
      </c>
    </row>
    <row r="22" spans="1:11" hidden="1" x14ac:dyDescent="0.3">
      <c r="A22" t="s">
        <v>32</v>
      </c>
      <c r="B22" t="s">
        <v>1</v>
      </c>
      <c r="C22" t="s">
        <v>10</v>
      </c>
      <c r="D22" t="s">
        <v>26</v>
      </c>
      <c r="E22" t="s">
        <v>113</v>
      </c>
      <c r="F22">
        <v>1025</v>
      </c>
      <c r="G22">
        <v>452</v>
      </c>
      <c r="H22">
        <v>547</v>
      </c>
      <c r="I22">
        <v>10</v>
      </c>
      <c r="J22">
        <v>44.53</v>
      </c>
      <c r="K22" t="s">
        <v>134</v>
      </c>
    </row>
    <row r="23" spans="1:11" x14ac:dyDescent="0.3">
      <c r="A23" t="s">
        <v>32</v>
      </c>
      <c r="B23" t="s">
        <v>49</v>
      </c>
      <c r="C23" t="s">
        <v>10</v>
      </c>
      <c r="D23" t="s">
        <v>26</v>
      </c>
      <c r="E23" t="s">
        <v>113</v>
      </c>
      <c r="F23">
        <v>1025</v>
      </c>
      <c r="G23">
        <v>439</v>
      </c>
      <c r="H23">
        <v>564</v>
      </c>
      <c r="I23">
        <v>6</v>
      </c>
      <c r="J23">
        <v>43.08</v>
      </c>
      <c r="K23" t="s">
        <v>135</v>
      </c>
    </row>
    <row r="24" spans="1:11" hidden="1" x14ac:dyDescent="0.3">
      <c r="A24" t="s">
        <v>32</v>
      </c>
      <c r="B24" t="s">
        <v>1</v>
      </c>
      <c r="C24" t="s">
        <v>37</v>
      </c>
      <c r="D24" t="s">
        <v>26</v>
      </c>
      <c r="E24" t="s">
        <v>113</v>
      </c>
      <c r="F24">
        <v>1025</v>
      </c>
      <c r="G24">
        <v>229</v>
      </c>
      <c r="H24">
        <v>583</v>
      </c>
      <c r="I24">
        <v>197</v>
      </c>
      <c r="J24">
        <v>27.66</v>
      </c>
      <c r="K24" t="s">
        <v>136</v>
      </c>
    </row>
    <row r="25" spans="1:11" hidden="1" x14ac:dyDescent="0.3">
      <c r="A25" t="s">
        <v>32</v>
      </c>
      <c r="B25" t="s">
        <v>49</v>
      </c>
      <c r="C25" t="s">
        <v>37</v>
      </c>
      <c r="D25" t="s">
        <v>26</v>
      </c>
      <c r="E25" t="s">
        <v>113</v>
      </c>
      <c r="F25">
        <v>1025</v>
      </c>
      <c r="G25">
        <v>246</v>
      </c>
      <c r="H25">
        <v>613</v>
      </c>
      <c r="I25">
        <v>152</v>
      </c>
      <c r="J25">
        <v>28.18</v>
      </c>
      <c r="K25" t="s">
        <v>137</v>
      </c>
    </row>
    <row r="26" spans="1:11" hidden="1" x14ac:dyDescent="0.3">
      <c r="A26" t="s">
        <v>63</v>
      </c>
      <c r="B26" t="s">
        <v>1</v>
      </c>
      <c r="C26" t="s">
        <v>0</v>
      </c>
      <c r="D26" t="s">
        <v>26</v>
      </c>
      <c r="E26" t="s">
        <v>113</v>
      </c>
      <c r="F26">
        <v>1025</v>
      </c>
      <c r="G26">
        <v>322</v>
      </c>
      <c r="H26">
        <v>655</v>
      </c>
      <c r="I26">
        <v>37</v>
      </c>
      <c r="J26">
        <v>32.590000000000003</v>
      </c>
      <c r="K26" t="s">
        <v>138</v>
      </c>
    </row>
    <row r="27" spans="1:11" hidden="1" x14ac:dyDescent="0.3">
      <c r="A27" t="s">
        <v>63</v>
      </c>
      <c r="B27" t="s">
        <v>49</v>
      </c>
      <c r="C27" t="s">
        <v>0</v>
      </c>
      <c r="D27" t="s">
        <v>26</v>
      </c>
      <c r="E27" t="s">
        <v>113</v>
      </c>
      <c r="F27">
        <v>1025</v>
      </c>
      <c r="G27">
        <v>313</v>
      </c>
      <c r="H27">
        <v>627</v>
      </c>
      <c r="I27">
        <v>74</v>
      </c>
      <c r="J27">
        <v>32.909999999999997</v>
      </c>
      <c r="K27" t="s">
        <v>139</v>
      </c>
    </row>
    <row r="28" spans="1:11" hidden="1" x14ac:dyDescent="0.3">
      <c r="A28" t="s">
        <v>63</v>
      </c>
      <c r="B28" t="s">
        <v>1</v>
      </c>
      <c r="C28" t="s">
        <v>11</v>
      </c>
      <c r="D28" t="s">
        <v>26</v>
      </c>
      <c r="E28" t="s">
        <v>113</v>
      </c>
      <c r="F28">
        <v>1025</v>
      </c>
      <c r="G28">
        <v>307</v>
      </c>
      <c r="H28">
        <v>670</v>
      </c>
      <c r="I28">
        <v>36</v>
      </c>
      <c r="J28">
        <v>31.04</v>
      </c>
      <c r="K28" t="s">
        <v>140</v>
      </c>
    </row>
    <row r="29" spans="1:11" hidden="1" x14ac:dyDescent="0.3">
      <c r="A29" t="s">
        <v>63</v>
      </c>
      <c r="B29" t="s">
        <v>49</v>
      </c>
      <c r="C29" t="s">
        <v>11</v>
      </c>
      <c r="D29" t="s">
        <v>26</v>
      </c>
      <c r="E29" t="s">
        <v>113</v>
      </c>
      <c r="F29">
        <v>1025</v>
      </c>
      <c r="G29">
        <v>290</v>
      </c>
      <c r="H29">
        <v>586</v>
      </c>
      <c r="I29">
        <v>138</v>
      </c>
      <c r="J29">
        <v>32.69</v>
      </c>
      <c r="K29" t="s">
        <v>141</v>
      </c>
    </row>
    <row r="30" spans="1:11" hidden="1" x14ac:dyDescent="0.3">
      <c r="A30" t="s">
        <v>63</v>
      </c>
      <c r="B30" t="s">
        <v>1</v>
      </c>
      <c r="C30" t="s">
        <v>10</v>
      </c>
      <c r="D30" t="s">
        <v>26</v>
      </c>
      <c r="E30" t="s">
        <v>113</v>
      </c>
      <c r="F30">
        <v>1025</v>
      </c>
      <c r="G30">
        <v>317</v>
      </c>
      <c r="H30">
        <v>647</v>
      </c>
      <c r="I30">
        <v>49</v>
      </c>
      <c r="J30">
        <v>32.479999999999997</v>
      </c>
      <c r="K30" t="s">
        <v>142</v>
      </c>
    </row>
    <row r="31" spans="1:11" x14ac:dyDescent="0.3">
      <c r="A31" t="s">
        <v>63</v>
      </c>
      <c r="B31" t="s">
        <v>49</v>
      </c>
      <c r="C31" t="s">
        <v>10</v>
      </c>
      <c r="D31" t="s">
        <v>26</v>
      </c>
      <c r="E31" t="s">
        <v>113</v>
      </c>
      <c r="F31">
        <v>1025</v>
      </c>
      <c r="G31">
        <v>314</v>
      </c>
      <c r="H31">
        <v>660</v>
      </c>
      <c r="I31">
        <v>39</v>
      </c>
      <c r="J31">
        <v>31.85</v>
      </c>
      <c r="K31" t="s">
        <v>143</v>
      </c>
    </row>
    <row r="32" spans="1:11" hidden="1" x14ac:dyDescent="0.3">
      <c r="A32" t="s">
        <v>63</v>
      </c>
      <c r="B32" t="s">
        <v>1</v>
      </c>
      <c r="C32" t="s">
        <v>37</v>
      </c>
      <c r="D32" t="s">
        <v>26</v>
      </c>
      <c r="E32" t="s">
        <v>113</v>
      </c>
      <c r="F32">
        <v>1025</v>
      </c>
      <c r="G32">
        <v>210</v>
      </c>
      <c r="H32">
        <v>625</v>
      </c>
      <c r="I32">
        <v>180</v>
      </c>
      <c r="J32">
        <v>24.85</v>
      </c>
      <c r="K32" t="s">
        <v>144</v>
      </c>
    </row>
    <row r="33" spans="1:11" hidden="1" x14ac:dyDescent="0.3">
      <c r="A33" t="s">
        <v>63</v>
      </c>
      <c r="B33" t="s">
        <v>49</v>
      </c>
      <c r="C33" t="s">
        <v>37</v>
      </c>
      <c r="D33" t="s">
        <v>26</v>
      </c>
      <c r="E33" t="s">
        <v>113</v>
      </c>
      <c r="F33">
        <v>1025</v>
      </c>
      <c r="G33">
        <v>234</v>
      </c>
      <c r="H33">
        <v>627</v>
      </c>
      <c r="I33">
        <v>153</v>
      </c>
      <c r="J33">
        <v>26.83</v>
      </c>
      <c r="K33" t="s">
        <v>145</v>
      </c>
    </row>
    <row r="34" spans="1:11" hidden="1" x14ac:dyDescent="0.3">
      <c r="A34" t="s">
        <v>34</v>
      </c>
      <c r="B34" t="s">
        <v>1</v>
      </c>
      <c r="C34" t="s">
        <v>0</v>
      </c>
      <c r="D34" t="s">
        <v>26</v>
      </c>
      <c r="E34" t="s">
        <v>113</v>
      </c>
      <c r="F34">
        <v>900</v>
      </c>
      <c r="G34">
        <v>399</v>
      </c>
      <c r="H34">
        <v>479</v>
      </c>
      <c r="I34">
        <v>4</v>
      </c>
      <c r="J34">
        <v>44.53</v>
      </c>
      <c r="K34" t="s">
        <v>146</v>
      </c>
    </row>
    <row r="35" spans="1:11" hidden="1" x14ac:dyDescent="0.3">
      <c r="A35" t="s">
        <v>34</v>
      </c>
      <c r="B35" t="s">
        <v>49</v>
      </c>
      <c r="C35" t="s">
        <v>0</v>
      </c>
      <c r="D35" t="s">
        <v>26</v>
      </c>
      <c r="E35" t="s">
        <v>113</v>
      </c>
      <c r="F35">
        <v>900</v>
      </c>
      <c r="G35">
        <v>375</v>
      </c>
      <c r="H35">
        <v>504</v>
      </c>
      <c r="I35">
        <v>3</v>
      </c>
      <c r="J35">
        <v>41.81</v>
      </c>
      <c r="K35" t="s">
        <v>147</v>
      </c>
    </row>
    <row r="36" spans="1:11" hidden="1" x14ac:dyDescent="0.3">
      <c r="A36" t="s">
        <v>34</v>
      </c>
      <c r="B36" t="s">
        <v>1</v>
      </c>
      <c r="C36" t="s">
        <v>11</v>
      </c>
      <c r="D36" t="s">
        <v>26</v>
      </c>
      <c r="E36" t="s">
        <v>113</v>
      </c>
      <c r="F36">
        <v>900</v>
      </c>
      <c r="G36">
        <v>385</v>
      </c>
      <c r="H36">
        <v>492</v>
      </c>
      <c r="I36">
        <v>5</v>
      </c>
      <c r="J36">
        <v>43.02</v>
      </c>
      <c r="K36" t="s">
        <v>148</v>
      </c>
    </row>
    <row r="37" spans="1:11" hidden="1" x14ac:dyDescent="0.3">
      <c r="A37" t="s">
        <v>34</v>
      </c>
      <c r="B37" t="s">
        <v>49</v>
      </c>
      <c r="C37" t="s">
        <v>11</v>
      </c>
      <c r="D37" t="s">
        <v>26</v>
      </c>
      <c r="E37" t="s">
        <v>113</v>
      </c>
      <c r="F37">
        <v>900</v>
      </c>
      <c r="G37">
        <v>367</v>
      </c>
      <c r="H37">
        <v>491</v>
      </c>
      <c r="I37">
        <v>24</v>
      </c>
      <c r="J37">
        <v>41.89</v>
      </c>
      <c r="K37" t="s">
        <v>149</v>
      </c>
    </row>
    <row r="38" spans="1:11" hidden="1" x14ac:dyDescent="0.3">
      <c r="A38" t="s">
        <v>34</v>
      </c>
      <c r="B38" t="s">
        <v>1</v>
      </c>
      <c r="C38" t="s">
        <v>10</v>
      </c>
      <c r="D38" t="s">
        <v>26</v>
      </c>
      <c r="E38" t="s">
        <v>113</v>
      </c>
      <c r="F38">
        <v>900</v>
      </c>
      <c r="G38">
        <v>341</v>
      </c>
      <c r="H38">
        <v>539</v>
      </c>
      <c r="I38">
        <v>2</v>
      </c>
      <c r="J38">
        <v>37.97</v>
      </c>
      <c r="K38" t="s">
        <v>150</v>
      </c>
    </row>
    <row r="39" spans="1:11" x14ac:dyDescent="0.3">
      <c r="A39" t="s">
        <v>34</v>
      </c>
      <c r="B39" t="s">
        <v>49</v>
      </c>
      <c r="C39" t="s">
        <v>10</v>
      </c>
      <c r="D39" t="s">
        <v>26</v>
      </c>
      <c r="E39" t="s">
        <v>113</v>
      </c>
      <c r="F39">
        <v>900</v>
      </c>
      <c r="G39">
        <v>356</v>
      </c>
      <c r="H39">
        <v>525</v>
      </c>
      <c r="I39">
        <v>1</v>
      </c>
      <c r="J39">
        <v>39.6</v>
      </c>
      <c r="K39" t="s">
        <v>151</v>
      </c>
    </row>
    <row r="40" spans="1:11" hidden="1" x14ac:dyDescent="0.3">
      <c r="A40" t="s">
        <v>34</v>
      </c>
      <c r="B40" t="s">
        <v>1</v>
      </c>
      <c r="C40" t="s">
        <v>37</v>
      </c>
      <c r="D40" t="s">
        <v>26</v>
      </c>
      <c r="E40" t="s">
        <v>113</v>
      </c>
      <c r="F40">
        <v>900</v>
      </c>
      <c r="G40">
        <v>150</v>
      </c>
      <c r="H40">
        <v>420</v>
      </c>
      <c r="I40">
        <v>315</v>
      </c>
      <c r="J40">
        <v>25.64</v>
      </c>
      <c r="K40" t="s">
        <v>152</v>
      </c>
    </row>
    <row r="41" spans="1:11" hidden="1" x14ac:dyDescent="0.3">
      <c r="A41" t="s">
        <v>34</v>
      </c>
      <c r="B41" t="s">
        <v>49</v>
      </c>
      <c r="C41" t="s">
        <v>37</v>
      </c>
      <c r="D41" t="s">
        <v>26</v>
      </c>
      <c r="E41" t="s">
        <v>113</v>
      </c>
      <c r="F41">
        <v>900</v>
      </c>
      <c r="G41">
        <v>172</v>
      </c>
      <c r="H41">
        <v>472</v>
      </c>
      <c r="I41">
        <v>243</v>
      </c>
      <c r="J41">
        <v>26.18</v>
      </c>
      <c r="K41" t="s">
        <v>153</v>
      </c>
    </row>
    <row r="42" spans="1:11" hidden="1" x14ac:dyDescent="0.3">
      <c r="A42" t="s">
        <v>72</v>
      </c>
      <c r="B42" t="s">
        <v>1</v>
      </c>
      <c r="C42" t="s">
        <v>0</v>
      </c>
      <c r="D42" t="s">
        <v>26</v>
      </c>
      <c r="E42" t="s">
        <v>113</v>
      </c>
      <c r="F42">
        <v>1025</v>
      </c>
      <c r="G42">
        <v>447</v>
      </c>
      <c r="H42">
        <v>541</v>
      </c>
      <c r="I42">
        <v>5</v>
      </c>
      <c r="J42">
        <v>43.82</v>
      </c>
      <c r="K42" t="s">
        <v>154</v>
      </c>
    </row>
    <row r="43" spans="1:11" hidden="1" x14ac:dyDescent="0.3">
      <c r="A43" t="s">
        <v>72</v>
      </c>
      <c r="B43" t="s">
        <v>49</v>
      </c>
      <c r="C43" t="s">
        <v>0</v>
      </c>
      <c r="D43" t="s">
        <v>26</v>
      </c>
      <c r="E43" t="s">
        <v>113</v>
      </c>
      <c r="F43">
        <v>1025</v>
      </c>
      <c r="G43">
        <v>435</v>
      </c>
      <c r="H43">
        <v>548</v>
      </c>
      <c r="I43">
        <v>11</v>
      </c>
      <c r="J43">
        <v>42.9</v>
      </c>
      <c r="K43" t="s">
        <v>155</v>
      </c>
    </row>
    <row r="44" spans="1:11" hidden="1" x14ac:dyDescent="0.3">
      <c r="A44" t="s">
        <v>72</v>
      </c>
      <c r="B44" t="s">
        <v>1</v>
      </c>
      <c r="C44" t="s">
        <v>11</v>
      </c>
      <c r="D44" t="s">
        <v>26</v>
      </c>
      <c r="E44" t="s">
        <v>113</v>
      </c>
      <c r="F44">
        <v>1025</v>
      </c>
      <c r="G44">
        <v>429</v>
      </c>
      <c r="H44">
        <v>538</v>
      </c>
      <c r="I44">
        <v>26</v>
      </c>
      <c r="J44">
        <v>42.94</v>
      </c>
      <c r="K44" t="s">
        <v>156</v>
      </c>
    </row>
    <row r="45" spans="1:11" hidden="1" x14ac:dyDescent="0.3">
      <c r="A45" t="s">
        <v>72</v>
      </c>
      <c r="B45" t="s">
        <v>49</v>
      </c>
      <c r="C45" t="s">
        <v>11</v>
      </c>
      <c r="D45" t="s">
        <v>26</v>
      </c>
      <c r="E45" t="s">
        <v>113</v>
      </c>
      <c r="F45">
        <v>1025</v>
      </c>
      <c r="G45">
        <v>414</v>
      </c>
      <c r="H45">
        <v>515</v>
      </c>
      <c r="I45">
        <v>64</v>
      </c>
      <c r="J45">
        <v>43.08</v>
      </c>
      <c r="K45" t="s">
        <v>157</v>
      </c>
    </row>
    <row r="46" spans="1:11" hidden="1" x14ac:dyDescent="0.3">
      <c r="A46" t="s">
        <v>72</v>
      </c>
      <c r="B46" t="s">
        <v>1</v>
      </c>
      <c r="C46" t="s">
        <v>10</v>
      </c>
      <c r="D46" t="s">
        <v>26</v>
      </c>
      <c r="E46" t="s">
        <v>113</v>
      </c>
      <c r="F46">
        <v>1025</v>
      </c>
      <c r="G46">
        <v>415</v>
      </c>
      <c r="H46">
        <v>573</v>
      </c>
      <c r="I46">
        <v>5</v>
      </c>
      <c r="J46">
        <v>40.69</v>
      </c>
      <c r="K46" t="s">
        <v>158</v>
      </c>
    </row>
    <row r="47" spans="1:11" x14ac:dyDescent="0.3">
      <c r="A47" t="s">
        <v>72</v>
      </c>
      <c r="B47" t="s">
        <v>49</v>
      </c>
      <c r="C47" t="s">
        <v>10</v>
      </c>
      <c r="D47" t="s">
        <v>26</v>
      </c>
      <c r="E47" t="s">
        <v>113</v>
      </c>
      <c r="F47">
        <v>1025</v>
      </c>
      <c r="G47">
        <v>426</v>
      </c>
      <c r="H47">
        <v>561</v>
      </c>
      <c r="I47">
        <v>6</v>
      </c>
      <c r="J47">
        <v>41.81</v>
      </c>
      <c r="K47" t="s">
        <v>159</v>
      </c>
    </row>
    <row r="48" spans="1:11" hidden="1" x14ac:dyDescent="0.3">
      <c r="A48" t="s">
        <v>72</v>
      </c>
      <c r="B48" t="s">
        <v>1</v>
      </c>
      <c r="C48" t="s">
        <v>37</v>
      </c>
      <c r="D48" t="s">
        <v>26</v>
      </c>
      <c r="E48" t="s">
        <v>113</v>
      </c>
      <c r="F48">
        <v>1025</v>
      </c>
      <c r="G48">
        <v>245</v>
      </c>
      <c r="H48">
        <v>587</v>
      </c>
      <c r="I48">
        <v>166</v>
      </c>
      <c r="J48">
        <v>28.52</v>
      </c>
      <c r="K48" t="s">
        <v>160</v>
      </c>
    </row>
    <row r="49" spans="1:11" hidden="1" x14ac:dyDescent="0.3">
      <c r="A49" t="s">
        <v>72</v>
      </c>
      <c r="B49" t="s">
        <v>49</v>
      </c>
      <c r="C49" t="s">
        <v>37</v>
      </c>
      <c r="D49" t="s">
        <v>26</v>
      </c>
      <c r="E49" t="s">
        <v>113</v>
      </c>
      <c r="F49">
        <v>1025</v>
      </c>
      <c r="G49">
        <v>228</v>
      </c>
      <c r="H49">
        <v>609</v>
      </c>
      <c r="I49">
        <v>158</v>
      </c>
      <c r="J49">
        <v>26.3</v>
      </c>
      <c r="K49" t="s">
        <v>161</v>
      </c>
    </row>
    <row r="50" spans="1:11" hidden="1" x14ac:dyDescent="0.3">
      <c r="A50" t="s">
        <v>77</v>
      </c>
      <c r="B50" t="s">
        <v>1</v>
      </c>
      <c r="C50" t="s">
        <v>0</v>
      </c>
      <c r="D50" t="s">
        <v>26</v>
      </c>
      <c r="E50" t="s">
        <v>113</v>
      </c>
      <c r="F50">
        <v>1010</v>
      </c>
      <c r="G50">
        <v>406</v>
      </c>
      <c r="H50">
        <v>545</v>
      </c>
      <c r="I50">
        <v>36</v>
      </c>
      <c r="J50">
        <v>41.68</v>
      </c>
      <c r="K50" t="s">
        <v>162</v>
      </c>
    </row>
    <row r="51" spans="1:11" hidden="1" x14ac:dyDescent="0.3">
      <c r="A51" t="s">
        <v>77</v>
      </c>
      <c r="B51" t="s">
        <v>49</v>
      </c>
      <c r="C51" t="s">
        <v>0</v>
      </c>
      <c r="D51" t="s">
        <v>26</v>
      </c>
      <c r="E51" t="s">
        <v>113</v>
      </c>
      <c r="F51">
        <v>1010</v>
      </c>
      <c r="G51">
        <v>364</v>
      </c>
      <c r="H51">
        <v>600</v>
      </c>
      <c r="I51">
        <v>23</v>
      </c>
      <c r="J51">
        <v>36.880000000000003</v>
      </c>
      <c r="K51" t="s">
        <v>163</v>
      </c>
    </row>
    <row r="52" spans="1:11" hidden="1" x14ac:dyDescent="0.3">
      <c r="A52" t="s">
        <v>77</v>
      </c>
      <c r="B52" t="s">
        <v>1</v>
      </c>
      <c r="C52" t="s">
        <v>11</v>
      </c>
      <c r="D52" t="s">
        <v>26</v>
      </c>
      <c r="E52" t="s">
        <v>113</v>
      </c>
      <c r="F52">
        <v>1010</v>
      </c>
      <c r="G52">
        <v>410</v>
      </c>
      <c r="H52">
        <v>526</v>
      </c>
      <c r="I52">
        <v>51</v>
      </c>
      <c r="J52">
        <v>42.75</v>
      </c>
      <c r="K52" t="s">
        <v>164</v>
      </c>
    </row>
    <row r="53" spans="1:11" hidden="1" x14ac:dyDescent="0.3">
      <c r="A53" t="s">
        <v>77</v>
      </c>
      <c r="B53" t="s">
        <v>49</v>
      </c>
      <c r="C53" t="s">
        <v>11</v>
      </c>
      <c r="D53" t="s">
        <v>26</v>
      </c>
      <c r="E53" t="s">
        <v>113</v>
      </c>
      <c r="F53">
        <v>1010</v>
      </c>
      <c r="G53">
        <v>376</v>
      </c>
      <c r="H53">
        <v>539</v>
      </c>
      <c r="I53">
        <v>72</v>
      </c>
      <c r="J53">
        <v>40.090000000000003</v>
      </c>
      <c r="K53" t="s">
        <v>165</v>
      </c>
    </row>
    <row r="54" spans="1:11" hidden="1" x14ac:dyDescent="0.3">
      <c r="A54" t="s">
        <v>77</v>
      </c>
      <c r="B54" t="s">
        <v>1</v>
      </c>
      <c r="C54" t="s">
        <v>10</v>
      </c>
      <c r="D54" t="s">
        <v>26</v>
      </c>
      <c r="E54" t="s">
        <v>113</v>
      </c>
      <c r="F54">
        <v>1010</v>
      </c>
      <c r="G54">
        <v>409</v>
      </c>
      <c r="H54">
        <v>543</v>
      </c>
      <c r="I54">
        <v>35</v>
      </c>
      <c r="J54">
        <v>41.95</v>
      </c>
      <c r="K54" t="s">
        <v>166</v>
      </c>
    </row>
    <row r="55" spans="1:11" x14ac:dyDescent="0.3">
      <c r="A55" t="s">
        <v>77</v>
      </c>
      <c r="B55" t="s">
        <v>49</v>
      </c>
      <c r="C55" t="s">
        <v>10</v>
      </c>
      <c r="D55" t="s">
        <v>26</v>
      </c>
      <c r="E55" t="s">
        <v>113</v>
      </c>
      <c r="F55">
        <v>1010</v>
      </c>
      <c r="G55">
        <v>408</v>
      </c>
      <c r="H55">
        <v>563</v>
      </c>
      <c r="I55">
        <v>16</v>
      </c>
      <c r="J55">
        <v>41.05</v>
      </c>
      <c r="K55" t="s">
        <v>167</v>
      </c>
    </row>
    <row r="56" spans="1:11" hidden="1" x14ac:dyDescent="0.3">
      <c r="A56" t="s">
        <v>77</v>
      </c>
      <c r="B56" t="s">
        <v>1</v>
      </c>
      <c r="C56" t="s">
        <v>37</v>
      </c>
      <c r="D56" t="s">
        <v>26</v>
      </c>
      <c r="E56" t="s">
        <v>113</v>
      </c>
      <c r="F56">
        <v>1010</v>
      </c>
      <c r="G56">
        <v>227</v>
      </c>
      <c r="H56">
        <v>596</v>
      </c>
      <c r="I56">
        <v>167</v>
      </c>
      <c r="J56">
        <v>26.93</v>
      </c>
      <c r="K56" t="s">
        <v>168</v>
      </c>
    </row>
    <row r="57" spans="1:11" hidden="1" x14ac:dyDescent="0.3">
      <c r="A57" t="s">
        <v>77</v>
      </c>
      <c r="B57" t="s">
        <v>49</v>
      </c>
      <c r="C57" t="s">
        <v>37</v>
      </c>
      <c r="D57" t="s">
        <v>26</v>
      </c>
      <c r="E57" t="s">
        <v>113</v>
      </c>
      <c r="F57">
        <v>1010</v>
      </c>
      <c r="G57">
        <v>267</v>
      </c>
      <c r="H57">
        <v>592</v>
      </c>
      <c r="I57">
        <v>129</v>
      </c>
      <c r="J57">
        <v>30.31</v>
      </c>
      <c r="K57" t="s">
        <v>169</v>
      </c>
    </row>
  </sheetData>
  <autoFilter ref="A1:K57" xr:uid="{53CCAB2C-D98A-413B-9AF6-4C5D959603B6}">
    <filterColumn colId="1">
      <filters>
        <filter val="PubMed"/>
      </filters>
    </filterColumn>
    <filterColumn colId="2">
      <filters>
        <filter val="gemma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Prueba inicial</vt:lpstr>
      <vt:lpstr>Gráficas</vt:lpstr>
      <vt:lpstr>Comparativa</vt:lpstr>
      <vt:lpstr>PRUEBA FINAL Medicina</vt:lpstr>
      <vt:lpstr>Comparativa idioma</vt:lpstr>
      <vt:lpstr>Comparativa Final</vt:lpstr>
      <vt:lpstr>Wikipedia Final ES</vt:lpstr>
      <vt:lpstr>Pubmed Final ES</vt:lpstr>
      <vt:lpstr>Wikipedia_Pubmed Final 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Lorena Ariceta García</dc:creator>
  <cp:lastModifiedBy>Lorena Ariceta García</cp:lastModifiedBy>
  <dcterms:created xsi:type="dcterms:W3CDTF">2025-10-09T22:44:31Z</dcterms:created>
  <dcterms:modified xsi:type="dcterms:W3CDTF">2026-01-01T22:32:46Z</dcterms:modified>
</cp:coreProperties>
</file>