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ren\OneDrive\Escritorio\TFM_Final\results\summary_files\"/>
    </mc:Choice>
  </mc:AlternateContent>
  <xr:revisionPtr revIDLastSave="0" documentId="13_ncr:1_{F9EF3924-DD83-4FDB-AB64-7F91CA5987C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Prueba_BIOLOGIA_2020" sheetId="1" r:id="rId1"/>
    <sheet name="No Available" sheetId="12" r:id="rId2"/>
    <sheet name="Global" sheetId="2" r:id="rId3"/>
    <sheet name="MEDICINA" sheetId="7" r:id="rId4"/>
    <sheet name="ENFERMERÍA" sheetId="4" r:id="rId5"/>
    <sheet name="BIOLOGÍA" sheetId="3" r:id="rId6"/>
    <sheet name="FARMACIA" sheetId="5" r:id="rId7"/>
    <sheet name="PSICOLOGÍA" sheetId="8" r:id="rId8"/>
    <sheet name="FÍSICA" sheetId="6" r:id="rId9"/>
    <sheet name="QUÍMICA" sheetId="9" r:id="rId10"/>
  </sheets>
  <definedNames>
    <definedName name="_xlnm._FilterDatabase" localSheetId="5" hidden="1">BIOLOGÍA!$U$18:$V$18</definedName>
    <definedName name="_xlnm._FilterDatabase" localSheetId="4" hidden="1">ENFERMERÍA!$V$16:$W$16</definedName>
    <definedName name="_xlnm._FilterDatabase" localSheetId="6" hidden="1">FARMACIA!$V$17:$W$17</definedName>
    <definedName name="_xlnm._FilterDatabase" localSheetId="8" hidden="1">FÍSICA!$V$21:$W$21</definedName>
    <definedName name="_xlnm._FilterDatabase" localSheetId="3" hidden="1">MEDICINA!$U$13:$V$13</definedName>
    <definedName name="_xlnm._FilterDatabase" localSheetId="0" hidden="1">Prueba_BIOLOGIA_2020!$K$28:$L$28</definedName>
    <definedName name="_xlnm._FilterDatabase" localSheetId="7" hidden="1">PSICOLOGÍA!$X$14:$Y$14</definedName>
    <definedName name="_xlnm._FilterDatabase" localSheetId="9" hidden="1">QUÍMICA!$Q$28:$R$28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J19" i="2"/>
  <c r="J20" i="2"/>
  <c r="J21" i="2"/>
  <c r="J22" i="2"/>
  <c r="J2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4" i="2"/>
  <c r="E29" i="2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4" i="9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9" i="6"/>
  <c r="K20" i="6"/>
  <c r="K21" i="6"/>
  <c r="K22" i="6"/>
  <c r="K23" i="6"/>
  <c r="K4" i="6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9" i="8"/>
  <c r="K20" i="8"/>
  <c r="K21" i="8"/>
  <c r="K22" i="8"/>
  <c r="K23" i="8"/>
  <c r="K4" i="8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9" i="5"/>
  <c r="K20" i="5"/>
  <c r="K21" i="5"/>
  <c r="K22" i="5"/>
  <c r="K23" i="5"/>
  <c r="K4" i="5"/>
  <c r="E29" i="9"/>
  <c r="E29" i="6"/>
  <c r="E29" i="8"/>
  <c r="E29" i="5"/>
  <c r="E29" i="3"/>
  <c r="E29" i="4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9" i="7"/>
  <c r="K20" i="7"/>
  <c r="K21" i="7"/>
  <c r="K22" i="7"/>
  <c r="K23" i="7"/>
  <c r="K4" i="7"/>
  <c r="J27" i="7"/>
  <c r="J28" i="7"/>
  <c r="J29" i="7"/>
  <c r="E29" i="7"/>
  <c r="E4" i="6" l="1"/>
  <c r="D4" i="6" s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4" i="3"/>
  <c r="E5" i="9"/>
  <c r="D5" i="9" s="1"/>
  <c r="E6" i="9"/>
  <c r="D6" i="9" s="1"/>
  <c r="E7" i="9"/>
  <c r="D7" i="9" s="1"/>
  <c r="E8" i="9"/>
  <c r="D8" i="9" s="1"/>
  <c r="E9" i="9"/>
  <c r="D9" i="9" s="1"/>
  <c r="E10" i="9"/>
  <c r="D10" i="9" s="1"/>
  <c r="E11" i="9"/>
  <c r="D11" i="9" s="1"/>
  <c r="E12" i="9"/>
  <c r="D12" i="9" s="1"/>
  <c r="E13" i="9"/>
  <c r="D13" i="9" s="1"/>
  <c r="E14" i="9"/>
  <c r="D14" i="9" s="1"/>
  <c r="E15" i="9"/>
  <c r="D15" i="9" s="1"/>
  <c r="E16" i="9"/>
  <c r="D16" i="9" s="1"/>
  <c r="E17" i="9"/>
  <c r="D17" i="9" s="1"/>
  <c r="E19" i="9"/>
  <c r="E20" i="9"/>
  <c r="D20" i="9" s="1"/>
  <c r="E21" i="9"/>
  <c r="D21" i="9" s="1"/>
  <c r="E22" i="9"/>
  <c r="D22" i="9" s="1"/>
  <c r="E23" i="9"/>
  <c r="D23" i="9" s="1"/>
  <c r="E4" i="9"/>
  <c r="D4" i="9" s="1"/>
  <c r="E5" i="6"/>
  <c r="D5" i="6" s="1"/>
  <c r="E6" i="6"/>
  <c r="D6" i="6" s="1"/>
  <c r="E7" i="6"/>
  <c r="D7" i="6" s="1"/>
  <c r="E8" i="6"/>
  <c r="D8" i="6" s="1"/>
  <c r="E9" i="6"/>
  <c r="D9" i="6" s="1"/>
  <c r="E10" i="6"/>
  <c r="D10" i="6" s="1"/>
  <c r="E11" i="6"/>
  <c r="D11" i="6" s="1"/>
  <c r="E12" i="6"/>
  <c r="D12" i="6" s="1"/>
  <c r="E13" i="6"/>
  <c r="D13" i="6" s="1"/>
  <c r="E14" i="6"/>
  <c r="D14" i="6" s="1"/>
  <c r="E15" i="6"/>
  <c r="D15" i="6" s="1"/>
  <c r="E16" i="6"/>
  <c r="D16" i="6" s="1"/>
  <c r="E17" i="6"/>
  <c r="D17" i="6" s="1"/>
  <c r="E19" i="6"/>
  <c r="D19" i="6" s="1"/>
  <c r="E20" i="6"/>
  <c r="D20" i="6" s="1"/>
  <c r="E21" i="6"/>
  <c r="D21" i="6" s="1"/>
  <c r="E22" i="6"/>
  <c r="D22" i="6" s="1"/>
  <c r="E23" i="6"/>
  <c r="D23" i="6" s="1"/>
  <c r="E5" i="8"/>
  <c r="D5" i="8" s="1"/>
  <c r="E6" i="8"/>
  <c r="D6" i="8" s="1"/>
  <c r="E7" i="8"/>
  <c r="D7" i="8" s="1"/>
  <c r="E8" i="8"/>
  <c r="D8" i="8" s="1"/>
  <c r="E9" i="8"/>
  <c r="D9" i="8" s="1"/>
  <c r="E10" i="8"/>
  <c r="D10" i="8" s="1"/>
  <c r="E11" i="8"/>
  <c r="D11" i="8" s="1"/>
  <c r="E12" i="8"/>
  <c r="D12" i="8" s="1"/>
  <c r="E13" i="8"/>
  <c r="D13" i="8" s="1"/>
  <c r="E14" i="8"/>
  <c r="D14" i="8" s="1"/>
  <c r="E15" i="8"/>
  <c r="D15" i="8" s="1"/>
  <c r="E16" i="8"/>
  <c r="D16" i="8" s="1"/>
  <c r="E17" i="8"/>
  <c r="D17" i="8" s="1"/>
  <c r="E19" i="8"/>
  <c r="D19" i="8" s="1"/>
  <c r="E20" i="8"/>
  <c r="D20" i="8" s="1"/>
  <c r="E21" i="8"/>
  <c r="D21" i="8" s="1"/>
  <c r="E22" i="8"/>
  <c r="D22" i="8" s="1"/>
  <c r="E23" i="8"/>
  <c r="D23" i="8" s="1"/>
  <c r="E4" i="8"/>
  <c r="D4" i="8" s="1"/>
  <c r="E5" i="5"/>
  <c r="D5" i="5" s="1"/>
  <c r="E6" i="5"/>
  <c r="D6" i="5" s="1"/>
  <c r="E7" i="5"/>
  <c r="D7" i="5" s="1"/>
  <c r="E8" i="5"/>
  <c r="D8" i="5" s="1"/>
  <c r="E9" i="5"/>
  <c r="D9" i="5" s="1"/>
  <c r="E10" i="5"/>
  <c r="D10" i="5" s="1"/>
  <c r="E11" i="5"/>
  <c r="D11" i="5" s="1"/>
  <c r="E12" i="5"/>
  <c r="D12" i="5" s="1"/>
  <c r="E13" i="5"/>
  <c r="D13" i="5" s="1"/>
  <c r="E14" i="5"/>
  <c r="D14" i="5" s="1"/>
  <c r="E15" i="5"/>
  <c r="D15" i="5" s="1"/>
  <c r="E16" i="5"/>
  <c r="D16" i="5" s="1"/>
  <c r="E17" i="5"/>
  <c r="D17" i="5" s="1"/>
  <c r="E19" i="5"/>
  <c r="D19" i="5" s="1"/>
  <c r="E20" i="5"/>
  <c r="D20" i="5" s="1"/>
  <c r="E21" i="5"/>
  <c r="D21" i="5" s="1"/>
  <c r="E22" i="5"/>
  <c r="D22" i="5" s="1"/>
  <c r="E23" i="5"/>
  <c r="D23" i="5" s="1"/>
  <c r="E4" i="5"/>
  <c r="D4" i="5" s="1"/>
  <c r="E19" i="3"/>
  <c r="D19" i="3" s="1"/>
  <c r="E20" i="3"/>
  <c r="D20" i="3" s="1"/>
  <c r="E21" i="3"/>
  <c r="D21" i="3" s="1"/>
  <c r="E22" i="3"/>
  <c r="D22" i="3" s="1"/>
  <c r="E23" i="3"/>
  <c r="D23" i="3" s="1"/>
  <c r="E5" i="3"/>
  <c r="D5" i="3" s="1"/>
  <c r="E6" i="3"/>
  <c r="D6" i="3" s="1"/>
  <c r="E7" i="3"/>
  <c r="D7" i="3" s="1"/>
  <c r="E8" i="3"/>
  <c r="D8" i="3" s="1"/>
  <c r="E9" i="3"/>
  <c r="D9" i="3" s="1"/>
  <c r="E10" i="3"/>
  <c r="D10" i="3" s="1"/>
  <c r="E11" i="3"/>
  <c r="D11" i="3" s="1"/>
  <c r="E12" i="3"/>
  <c r="D12" i="3" s="1"/>
  <c r="E13" i="3"/>
  <c r="D13" i="3" s="1"/>
  <c r="E14" i="3"/>
  <c r="D14" i="3" s="1"/>
  <c r="E15" i="3"/>
  <c r="D15" i="3" s="1"/>
  <c r="E16" i="3"/>
  <c r="D16" i="3" s="1"/>
  <c r="E17" i="3"/>
  <c r="D17" i="3" s="1"/>
  <c r="E4" i="3"/>
  <c r="D4" i="3" s="1"/>
  <c r="K19" i="4"/>
  <c r="K20" i="4"/>
  <c r="K21" i="4"/>
  <c r="K22" i="4"/>
  <c r="K23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4" i="4"/>
  <c r="E19" i="4"/>
  <c r="D19" i="4" s="1"/>
  <c r="E20" i="4"/>
  <c r="D20" i="4" s="1"/>
  <c r="E21" i="4"/>
  <c r="D21" i="4" s="1"/>
  <c r="E22" i="4"/>
  <c r="D22" i="4" s="1"/>
  <c r="E23" i="4"/>
  <c r="D23" i="4" s="1"/>
  <c r="E5" i="4"/>
  <c r="D5" i="4" s="1"/>
  <c r="E6" i="4"/>
  <c r="D6" i="4" s="1"/>
  <c r="E7" i="4"/>
  <c r="D7" i="4" s="1"/>
  <c r="E8" i="4"/>
  <c r="D8" i="4" s="1"/>
  <c r="E9" i="4"/>
  <c r="D9" i="4" s="1"/>
  <c r="E10" i="4"/>
  <c r="D10" i="4" s="1"/>
  <c r="E11" i="4"/>
  <c r="D11" i="4" s="1"/>
  <c r="E12" i="4"/>
  <c r="D12" i="4" s="1"/>
  <c r="E13" i="4"/>
  <c r="D13" i="4" s="1"/>
  <c r="E14" i="4"/>
  <c r="D14" i="4" s="1"/>
  <c r="E15" i="4"/>
  <c r="D15" i="4" s="1"/>
  <c r="E16" i="4"/>
  <c r="D16" i="4" s="1"/>
  <c r="E17" i="4"/>
  <c r="D17" i="4" s="1"/>
  <c r="E4" i="4"/>
  <c r="D4" i="4" s="1"/>
  <c r="E19" i="7"/>
  <c r="D19" i="7" s="1"/>
  <c r="E20" i="7"/>
  <c r="D20" i="7" s="1"/>
  <c r="E21" i="7"/>
  <c r="D21" i="7" s="1"/>
  <c r="E22" i="7"/>
  <c r="D22" i="7" s="1"/>
  <c r="E23" i="7"/>
  <c r="D23" i="7" s="1"/>
  <c r="E5" i="7"/>
  <c r="D5" i="7" s="1"/>
  <c r="E6" i="7"/>
  <c r="D6" i="7" s="1"/>
  <c r="E7" i="7"/>
  <c r="D7" i="7" s="1"/>
  <c r="E8" i="7"/>
  <c r="D8" i="7" s="1"/>
  <c r="E9" i="7"/>
  <c r="D9" i="7" s="1"/>
  <c r="E10" i="7"/>
  <c r="D10" i="7" s="1"/>
  <c r="E11" i="7"/>
  <c r="D11" i="7" s="1"/>
  <c r="E12" i="7"/>
  <c r="D12" i="7" s="1"/>
  <c r="E13" i="7"/>
  <c r="D13" i="7" s="1"/>
  <c r="E14" i="7"/>
  <c r="D14" i="7" s="1"/>
  <c r="E15" i="7"/>
  <c r="D15" i="7" s="1"/>
  <c r="E16" i="7"/>
  <c r="D16" i="7" s="1"/>
  <c r="E17" i="7"/>
  <c r="D17" i="7" s="1"/>
  <c r="E4" i="7"/>
  <c r="D19" i="2"/>
  <c r="G19" i="2" s="1"/>
  <c r="D21" i="2"/>
  <c r="G21" i="2" s="1"/>
  <c r="D22" i="2"/>
  <c r="G22" i="2" s="1"/>
  <c r="D23" i="2"/>
  <c r="G23" i="2" s="1"/>
  <c r="D6" i="2"/>
  <c r="G6" i="2" s="1"/>
  <c r="D7" i="2"/>
  <c r="G7" i="2" s="1"/>
  <c r="D9" i="2"/>
  <c r="G9" i="2" s="1"/>
  <c r="D10" i="2"/>
  <c r="G10" i="2" s="1"/>
  <c r="D12" i="2"/>
  <c r="G12" i="2" s="1"/>
  <c r="D13" i="2"/>
  <c r="G13" i="2" s="1"/>
  <c r="D15" i="2"/>
  <c r="G15" i="2" s="1"/>
  <c r="D16" i="2"/>
  <c r="G16" i="2" s="1"/>
  <c r="D17" i="2"/>
  <c r="G17" i="2" s="1"/>
  <c r="D4" i="2"/>
  <c r="G4" i="2" s="1"/>
  <c r="J19" i="9" l="1"/>
  <c r="D19" i="9"/>
  <c r="D4" i="7"/>
  <c r="J4" i="7"/>
  <c r="J16" i="9"/>
  <c r="E20" i="2"/>
  <c r="D20" i="2" s="1"/>
  <c r="H20" i="2"/>
  <c r="H14" i="2"/>
  <c r="E14" i="2"/>
  <c r="D14" i="2" s="1"/>
  <c r="E8" i="2"/>
  <c r="D8" i="2" s="1"/>
  <c r="H8" i="2"/>
  <c r="E11" i="2"/>
  <c r="D11" i="2" s="1"/>
  <c r="H11" i="2"/>
  <c r="H5" i="2"/>
  <c r="E5" i="2"/>
  <c r="D5" i="2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23" i="1"/>
  <c r="I4" i="1"/>
  <c r="D31" i="1"/>
  <c r="C31" i="1"/>
  <c r="E31" i="9"/>
  <c r="C31" i="9"/>
  <c r="J23" i="9"/>
  <c r="J22" i="9"/>
  <c r="J21" i="9"/>
  <c r="J20" i="9"/>
  <c r="J17" i="9"/>
  <c r="J15" i="9"/>
  <c r="J14" i="9"/>
  <c r="J13" i="9"/>
  <c r="J12" i="9"/>
  <c r="J11" i="9"/>
  <c r="J10" i="9"/>
  <c r="J9" i="9"/>
  <c r="J8" i="9"/>
  <c r="J7" i="9"/>
  <c r="J6" i="9"/>
  <c r="J5" i="9"/>
  <c r="J4" i="9"/>
  <c r="E31" i="6"/>
  <c r="C31" i="6"/>
  <c r="J23" i="6"/>
  <c r="J22" i="6"/>
  <c r="J21" i="6"/>
  <c r="J20" i="6"/>
  <c r="J19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E31" i="8"/>
  <c r="C31" i="8"/>
  <c r="J23" i="8"/>
  <c r="J22" i="8"/>
  <c r="J21" i="8"/>
  <c r="J20" i="8"/>
  <c r="J19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E31" i="5"/>
  <c r="C31" i="5"/>
  <c r="J23" i="5"/>
  <c r="J22" i="5"/>
  <c r="J21" i="5"/>
  <c r="J20" i="5"/>
  <c r="J19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E31" i="3"/>
  <c r="C31" i="3"/>
  <c r="J23" i="3"/>
  <c r="J22" i="3"/>
  <c r="J21" i="3"/>
  <c r="J20" i="3"/>
  <c r="J19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E31" i="4"/>
  <c r="C31" i="4"/>
  <c r="J23" i="4"/>
  <c r="J22" i="4"/>
  <c r="J21" i="4"/>
  <c r="J20" i="4"/>
  <c r="J19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E31" i="7"/>
  <c r="C31" i="7"/>
  <c r="J23" i="7"/>
  <c r="J22" i="7"/>
  <c r="J21" i="7"/>
  <c r="J20" i="7"/>
  <c r="J19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C31" i="2"/>
  <c r="I6" i="2"/>
  <c r="I10" i="2"/>
  <c r="I12" i="2"/>
  <c r="I7" i="2"/>
  <c r="I9" i="2"/>
  <c r="I13" i="2"/>
  <c r="I15" i="2"/>
  <c r="I16" i="2"/>
  <c r="I17" i="2"/>
  <c r="I19" i="2"/>
  <c r="I21" i="2"/>
  <c r="I22" i="2"/>
  <c r="I23" i="2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M10" i="1" s="1"/>
  <c r="H5" i="1"/>
  <c r="H6" i="1"/>
  <c r="H4" i="1"/>
  <c r="J27" i="6" l="1"/>
  <c r="J27" i="9"/>
  <c r="J28" i="5"/>
  <c r="J29" i="5"/>
  <c r="J28" i="3"/>
  <c r="J29" i="3"/>
  <c r="J28" i="9"/>
  <c r="J29" i="9"/>
  <c r="J28" i="6"/>
  <c r="J29" i="6"/>
  <c r="J27" i="8"/>
  <c r="J28" i="8"/>
  <c r="J29" i="8"/>
  <c r="J27" i="5"/>
  <c r="J27" i="3"/>
  <c r="J27" i="4"/>
  <c r="J28" i="4"/>
  <c r="J29" i="4"/>
  <c r="G20" i="2"/>
  <c r="G5" i="2"/>
  <c r="G11" i="2"/>
  <c r="G8" i="2"/>
  <c r="G14" i="2"/>
  <c r="R5" i="6"/>
  <c r="P8" i="6"/>
  <c r="Q10" i="8"/>
  <c r="R4" i="5"/>
  <c r="Q8" i="5"/>
  <c r="I8" i="2"/>
  <c r="N6" i="2" s="1"/>
  <c r="I11" i="2"/>
  <c r="P5" i="2" s="1"/>
  <c r="P8" i="7"/>
  <c r="I20" i="2"/>
  <c r="P9" i="2" s="1"/>
  <c r="I14" i="2"/>
  <c r="P7" i="2" s="1"/>
  <c r="I5" i="2"/>
  <c r="N4" i="2" s="1"/>
  <c r="I4" i="2"/>
  <c r="P5" i="9"/>
  <c r="P4" i="7"/>
  <c r="P5" i="5"/>
  <c r="R6" i="9"/>
  <c r="P8" i="8"/>
  <c r="P4" i="8"/>
  <c r="Q10" i="3"/>
  <c r="P6" i="3"/>
  <c r="P6" i="4"/>
  <c r="R5" i="2"/>
  <c r="P7" i="1"/>
  <c r="R8" i="9"/>
  <c r="R5" i="9"/>
  <c r="P9" i="9"/>
  <c r="P7" i="9"/>
  <c r="P5" i="8"/>
  <c r="R10" i="8"/>
  <c r="P4" i="5"/>
  <c r="R5" i="5"/>
  <c r="O8" i="5"/>
  <c r="P5" i="3"/>
  <c r="Q8" i="3"/>
  <c r="R5" i="3"/>
  <c r="P4" i="3"/>
  <c r="N9" i="3"/>
  <c r="R8" i="2"/>
  <c r="N9" i="7"/>
  <c r="N4" i="3"/>
  <c r="N9" i="5"/>
  <c r="R10" i="5"/>
  <c r="R10" i="9"/>
  <c r="O10" i="9"/>
  <c r="P6" i="9"/>
  <c r="R9" i="9"/>
  <c r="R4" i="9"/>
  <c r="O8" i="6"/>
  <c r="R9" i="6"/>
  <c r="N4" i="8"/>
  <c r="N6" i="8"/>
  <c r="Q8" i="8"/>
  <c r="O8" i="8"/>
  <c r="P7" i="5"/>
  <c r="P10" i="5"/>
  <c r="R7" i="5"/>
  <c r="P8" i="5"/>
  <c r="R9" i="5"/>
  <c r="P8" i="3"/>
  <c r="P7" i="3"/>
  <c r="P10" i="3"/>
  <c r="R7" i="3"/>
  <c r="R10" i="3"/>
  <c r="R9" i="3"/>
  <c r="R6" i="3"/>
  <c r="N5" i="7"/>
  <c r="R6" i="7"/>
  <c r="R9" i="7"/>
  <c r="N6" i="7"/>
  <c r="O10" i="4"/>
  <c r="Q8" i="7"/>
  <c r="R10" i="7"/>
  <c r="R4" i="7"/>
  <c r="R7" i="9"/>
  <c r="P10" i="9"/>
  <c r="P4" i="9"/>
  <c r="N5" i="9"/>
  <c r="Q10" i="9"/>
  <c r="O8" i="9"/>
  <c r="P8" i="9"/>
  <c r="N6" i="9"/>
  <c r="N4" i="9"/>
  <c r="Q8" i="9"/>
  <c r="O10" i="6"/>
  <c r="N6" i="6"/>
  <c r="N4" i="6"/>
  <c r="P9" i="6"/>
  <c r="P7" i="8"/>
  <c r="O10" i="8"/>
  <c r="R7" i="8"/>
  <c r="R5" i="8"/>
  <c r="R6" i="5"/>
  <c r="O10" i="5"/>
  <c r="N5" i="5"/>
  <c r="Q10" i="5"/>
  <c r="R4" i="3"/>
  <c r="N7" i="3"/>
  <c r="O10" i="3"/>
  <c r="R8" i="3"/>
  <c r="N5" i="3"/>
  <c r="O8" i="3"/>
  <c r="N6" i="3"/>
  <c r="P8" i="4"/>
  <c r="P10" i="4"/>
  <c r="P4" i="4"/>
  <c r="P10" i="7"/>
  <c r="R7" i="7"/>
  <c r="R5" i="7"/>
  <c r="R8" i="7"/>
  <c r="P7" i="7"/>
  <c r="N4" i="7"/>
  <c r="Q10" i="7"/>
  <c r="O8" i="7"/>
  <c r="P9" i="7"/>
  <c r="R8" i="5"/>
  <c r="N7" i="5"/>
  <c r="N6" i="5"/>
  <c r="N4" i="5"/>
  <c r="N9" i="8"/>
  <c r="R9" i="8"/>
  <c r="R8" i="8"/>
  <c r="R6" i="8"/>
  <c r="N5" i="8"/>
  <c r="R4" i="8"/>
  <c r="R10" i="6"/>
  <c r="N9" i="6"/>
  <c r="R8" i="6"/>
  <c r="N7" i="6"/>
  <c r="R7" i="6"/>
  <c r="R6" i="6"/>
  <c r="N5" i="6"/>
  <c r="R4" i="6"/>
  <c r="R9" i="4"/>
  <c r="P5" i="4"/>
  <c r="R10" i="4"/>
  <c r="P7" i="4"/>
  <c r="N7" i="4"/>
  <c r="Q8" i="4"/>
  <c r="O8" i="4"/>
  <c r="P9" i="4"/>
  <c r="R6" i="4"/>
  <c r="R4" i="4"/>
  <c r="N9" i="4"/>
  <c r="R7" i="4"/>
  <c r="R8" i="4"/>
  <c r="N6" i="4"/>
  <c r="R5" i="4"/>
  <c r="N5" i="4"/>
  <c r="N4" i="4"/>
  <c r="N7" i="9"/>
  <c r="N9" i="9"/>
  <c r="P6" i="6"/>
  <c r="Q10" i="6"/>
  <c r="Q8" i="6"/>
  <c r="P10" i="6"/>
  <c r="P5" i="6"/>
  <c r="P7" i="6"/>
  <c r="P4" i="6"/>
  <c r="P6" i="8"/>
  <c r="P10" i="8"/>
  <c r="N7" i="8"/>
  <c r="P9" i="8"/>
  <c r="P6" i="5"/>
  <c r="P9" i="5"/>
  <c r="P9" i="3"/>
  <c r="Q10" i="4"/>
  <c r="P6" i="7"/>
  <c r="O10" i="7"/>
  <c r="N7" i="7"/>
  <c r="P5" i="7"/>
  <c r="R7" i="2"/>
  <c r="R10" i="2"/>
  <c r="R6" i="2"/>
  <c r="R9" i="2"/>
  <c r="P8" i="2"/>
  <c r="Q8" i="2"/>
  <c r="P10" i="2"/>
  <c r="N5" i="1"/>
  <c r="N8" i="1"/>
  <c r="N7" i="1"/>
  <c r="N4" i="1"/>
  <c r="N10" i="1"/>
  <c r="P9" i="1"/>
  <c r="N6" i="1"/>
  <c r="L5" i="1"/>
  <c r="O10" i="1"/>
  <c r="L9" i="1"/>
  <c r="P4" i="1"/>
  <c r="P5" i="1"/>
  <c r="M8" i="1"/>
  <c r="P6" i="1"/>
  <c r="P8" i="1"/>
  <c r="O8" i="1"/>
  <c r="P10" i="1"/>
  <c r="L6" i="1"/>
  <c r="L4" i="1"/>
  <c r="N9" i="1"/>
  <c r="L7" i="1"/>
  <c r="N5" i="2" l="1"/>
  <c r="O8" i="2"/>
  <c r="P6" i="2"/>
  <c r="P4" i="2"/>
  <c r="N9" i="2"/>
  <c r="N7" i="2"/>
  <c r="O10" i="2"/>
  <c r="Q10" i="2"/>
  <c r="R4" i="2"/>
</calcChain>
</file>

<file path=xl/sharedStrings.xml><?xml version="1.0" encoding="utf-8"?>
<sst xmlns="http://schemas.openxmlformats.org/spreadsheetml/2006/main" count="845" uniqueCount="56">
  <si>
    <t>Prueba BIOLOGIA 2020</t>
  </si>
  <si>
    <t>MEJORA % de ACIERTOS</t>
  </si>
  <si>
    <t>MODELO</t>
  </si>
  <si>
    <t>Respondidas por el modelo</t>
  </si>
  <si>
    <t>Aciertos</t>
  </si>
  <si>
    <t>Errores</t>
  </si>
  <si>
    <t>Sin respuesta</t>
  </si>
  <si>
    <t>% de aciertos</t>
  </si>
  <si>
    <t>% sin respuestas</t>
  </si>
  <si>
    <t xml:space="preserve"> Prompt ES vs No Prompt</t>
  </si>
  <si>
    <t>Prompt upgrade ES vs Prompt general ES</t>
  </si>
  <si>
    <t>Prompt EN vs Prompt ES</t>
  </si>
  <si>
    <t>Prompt upgrade EN vs Prompt general EN</t>
  </si>
  <si>
    <t xml:space="preserve"> Prompt EN No Prompt</t>
  </si>
  <si>
    <t>llama3</t>
  </si>
  <si>
    <t>Prompt EN</t>
  </si>
  <si>
    <t>Prompt ES</t>
  </si>
  <si>
    <t>mistral</t>
  </si>
  <si>
    <t>No prompt</t>
  </si>
  <si>
    <t>gemma</t>
  </si>
  <si>
    <t>deepseek-coder</t>
  </si>
  <si>
    <t>deepseek-llm</t>
  </si>
  <si>
    <t>phi3</t>
  </si>
  <si>
    <t>phi3:instruct</t>
  </si>
  <si>
    <t>Ranking</t>
  </si>
  <si>
    <t>No Prompt</t>
  </si>
  <si>
    <t>% aciertos</t>
  </si>
  <si>
    <t>nº TOTAL DE PREGUNTAS</t>
  </si>
  <si>
    <t>tipo</t>
  </si>
  <si>
    <t>esperado</t>
  </si>
  <si>
    <t>obtenido</t>
  </si>
  <si>
    <t>texto</t>
  </si>
  <si>
    <t>imagen</t>
  </si>
  <si>
    <t>TOTAL</t>
  </si>
  <si>
    <t>ANÁLISIS GLOBAL</t>
  </si>
  <si>
    <t>Modelo</t>
  </si>
  <si>
    <t xml:space="preserve"> </t>
  </si>
  <si>
    <t>Titulación</t>
  </si>
  <si>
    <t>No disponible</t>
  </si>
  <si>
    <t>Total texto</t>
  </si>
  <si>
    <t>No available</t>
  </si>
  <si>
    <t>%</t>
  </si>
  <si>
    <t>BIOLOGÍA</t>
  </si>
  <si>
    <t>ENFERMERÍA</t>
  </si>
  <si>
    <t>FARMACIA</t>
  </si>
  <si>
    <t>FÍSICA</t>
  </si>
  <si>
    <t>MEDICINA</t>
  </si>
  <si>
    <t>PSICOLOGÍA</t>
  </si>
  <si>
    <t>QUÍMICA</t>
  </si>
  <si>
    <t>No valida</t>
  </si>
  <si>
    <t>No válida</t>
  </si>
  <si>
    <t>Total</t>
  </si>
  <si>
    <t>total</t>
  </si>
  <si>
    <t>final</t>
  </si>
  <si>
    <t>NA</t>
  </si>
  <si>
    <t xml:space="preserve">Media Global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</si>
</sst>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A7DC9"/>
        <bgColor indexed="64"/>
      </patternFill>
    </fill>
    <fill>
      <patternFill patternType="solid">
        <fgColor rgb="FFDCC9E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2" fontId="2" fillId="1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2" fontId="2" fillId="20" borderId="1" xfId="0" applyNumberFormat="1" applyFont="1" applyFill="1" applyBorder="1" applyAlignment="1">
      <alignment horizontal="center" vertical="center" wrapText="1"/>
    </xf>
    <xf numFmtId="164" fontId="2" fillId="2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1" fillId="14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0" fillId="0" borderId="0" xfId="0" applyAlignment="1"/>
    <xf numFmtId="0" fontId="1" fillId="2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0" fillId="22" borderId="1" xfId="0" applyFont="1" applyFill="1" applyBorder="1" applyAlignment="1">
      <alignment horizontal="center" vertical="center"/>
    </xf>
    <xf numFmtId="10" fontId="0" fillId="22" borderId="1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" fillId="7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9E9"/>
      <color rgb="FFAA7DC9"/>
      <color rgb="FFC395D1"/>
      <color rgb="FFB06BC3"/>
      <color rgb="FFD9BBEB"/>
      <color rgb="FFB182C8"/>
      <color rgb="FFBA70BE"/>
      <color rgb="FFBB87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2:P31"/>
  <sheetViews>
    <sheetView workbookViewId="0">
      <selection activeCell="G4" sqref="G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1" t="s">
        <v>0</v>
      </c>
      <c r="C2" s="32"/>
      <c r="D2" s="32"/>
      <c r="E2" s="32"/>
      <c r="F2" s="32"/>
      <c r="G2" s="32"/>
      <c r="H2" s="32"/>
      <c r="I2" s="32"/>
      <c r="K2" s="33" t="s">
        <v>1</v>
      </c>
      <c r="L2" s="33"/>
      <c r="M2" s="33"/>
      <c r="N2" s="33"/>
      <c r="O2" s="33"/>
      <c r="P2" s="33"/>
    </row>
    <row r="3" spans="2:16" ht="43.2" x14ac:dyDescent="0.3">
      <c r="B3" s="35" t="s">
        <v>2</v>
      </c>
      <c r="C3" s="36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4" t="s">
        <v>14</v>
      </c>
      <c r="C4" s="3" t="s">
        <v>15</v>
      </c>
      <c r="D4" s="3">
        <v>185</v>
      </c>
      <c r="E4" s="3">
        <v>107</v>
      </c>
      <c r="F4" s="3">
        <v>78</v>
      </c>
      <c r="G4" s="3">
        <v>0</v>
      </c>
      <c r="H4" s="18">
        <f>(E4/D4)*100</f>
        <v>57.837837837837839</v>
      </c>
      <c r="I4" s="22">
        <f t="shared" ref="I4:I17" si="0">(G4/$D$29)*100</f>
        <v>0</v>
      </c>
      <c r="J4" s="4"/>
      <c r="K4" s="14" t="s">
        <v>14</v>
      </c>
      <c r="L4" s="7">
        <f>H5-H6</f>
        <v>7.567567567567572</v>
      </c>
      <c r="M4" s="8"/>
      <c r="N4" s="7">
        <f>H4-H5</f>
        <v>-4.8648648648648702</v>
      </c>
      <c r="O4" s="8"/>
      <c r="P4" s="7">
        <f>H4-H6</f>
        <v>2.7027027027027017</v>
      </c>
    </row>
    <row r="5" spans="2:16" x14ac:dyDescent="0.3">
      <c r="B5" s="34"/>
      <c r="C5" s="3" t="s">
        <v>16</v>
      </c>
      <c r="D5" s="3">
        <v>185</v>
      </c>
      <c r="E5" s="3">
        <v>116</v>
      </c>
      <c r="F5" s="3">
        <v>69</v>
      </c>
      <c r="G5" s="3">
        <v>0</v>
      </c>
      <c r="H5" s="18">
        <f t="shared" ref="H5:H23" si="1">(E5/D5)*100</f>
        <v>62.702702702702709</v>
      </c>
      <c r="I5" s="22">
        <f t="shared" si="0"/>
        <v>0</v>
      </c>
      <c r="J5" s="4"/>
      <c r="K5" s="14" t="s">
        <v>17</v>
      </c>
      <c r="L5" s="7">
        <f>H8-H9</f>
        <v>17.157004332576854</v>
      </c>
      <c r="M5" s="8"/>
      <c r="N5" s="7">
        <f>H7-H8</f>
        <v>-0.54054054054054035</v>
      </c>
      <c r="O5" s="8"/>
      <c r="P5" s="7">
        <f>H7-H9</f>
        <v>16.616463792036313</v>
      </c>
    </row>
    <row r="6" spans="2:16" x14ac:dyDescent="0.3">
      <c r="B6" s="34"/>
      <c r="C6" s="3" t="s">
        <v>18</v>
      </c>
      <c r="D6" s="3">
        <v>185</v>
      </c>
      <c r="E6" s="3">
        <v>102</v>
      </c>
      <c r="F6" s="3">
        <v>83</v>
      </c>
      <c r="G6" s="3">
        <v>0</v>
      </c>
      <c r="H6" s="18">
        <f t="shared" si="1"/>
        <v>55.135135135135137</v>
      </c>
      <c r="I6" s="22">
        <f t="shared" si="0"/>
        <v>0</v>
      </c>
      <c r="J6" s="4"/>
      <c r="K6" s="14" t="s">
        <v>19</v>
      </c>
      <c r="L6" s="7">
        <f>H11-H12</f>
        <v>4.0188014101057661</v>
      </c>
      <c r="M6" s="8"/>
      <c r="N6" s="7">
        <f>H10-H11</f>
        <v>-0.43125092305420765</v>
      </c>
      <c r="O6" s="8"/>
      <c r="P6" s="7">
        <f>H10-H12</f>
        <v>3.5875504870515584</v>
      </c>
    </row>
    <row r="7" spans="2:16" x14ac:dyDescent="0.3">
      <c r="B7" s="34" t="s">
        <v>17</v>
      </c>
      <c r="C7" s="1" t="s">
        <v>15</v>
      </c>
      <c r="D7" s="1">
        <v>185</v>
      </c>
      <c r="E7" s="1">
        <v>107</v>
      </c>
      <c r="F7" s="1">
        <v>78</v>
      </c>
      <c r="G7" s="1">
        <v>0</v>
      </c>
      <c r="H7" s="19">
        <f t="shared" si="1"/>
        <v>57.837837837837839</v>
      </c>
      <c r="I7" s="23">
        <f t="shared" si="0"/>
        <v>0</v>
      </c>
      <c r="J7" s="4"/>
      <c r="K7" s="14" t="s">
        <v>20</v>
      </c>
      <c r="L7" s="7">
        <f>H14-H15</f>
        <v>6.7307692307692299</v>
      </c>
      <c r="M7" s="8"/>
      <c r="N7" s="7">
        <f>H13-H14</f>
        <v>-17.5</v>
      </c>
      <c r="O7" s="8"/>
      <c r="P7" s="7">
        <f>H13-H15</f>
        <v>-10.76923076923077</v>
      </c>
    </row>
    <row r="8" spans="2:16" x14ac:dyDescent="0.3">
      <c r="B8" s="34"/>
      <c r="C8" s="1" t="s">
        <v>16</v>
      </c>
      <c r="D8" s="1">
        <v>185</v>
      </c>
      <c r="E8" s="1">
        <v>108</v>
      </c>
      <c r="F8" s="1">
        <v>77</v>
      </c>
      <c r="G8" s="1">
        <v>0</v>
      </c>
      <c r="H8" s="19">
        <f t="shared" si="1"/>
        <v>58.378378378378379</v>
      </c>
      <c r="I8" s="23">
        <f t="shared" si="0"/>
        <v>0</v>
      </c>
      <c r="J8" s="4"/>
      <c r="K8" s="14" t="s">
        <v>21</v>
      </c>
      <c r="L8" s="9"/>
      <c r="M8" s="7">
        <f>H17-H14</f>
        <v>6.5</v>
      </c>
      <c r="N8" s="7">
        <f>H16-H17</f>
        <v>-7.7362637362637372</v>
      </c>
      <c r="O8" s="7">
        <f>H16-H13</f>
        <v>16.263736263736263</v>
      </c>
      <c r="P8" s="7">
        <f>H16-H15</f>
        <v>5.4945054945054927</v>
      </c>
    </row>
    <row r="9" spans="2:16" x14ac:dyDescent="0.3">
      <c r="B9" s="34"/>
      <c r="C9" s="1" t="s">
        <v>18</v>
      </c>
      <c r="D9" s="1">
        <v>131</v>
      </c>
      <c r="E9" s="1">
        <v>54</v>
      </c>
      <c r="F9" s="1">
        <v>77</v>
      </c>
      <c r="G9" s="1">
        <v>54</v>
      </c>
      <c r="H9" s="19">
        <f t="shared" si="1"/>
        <v>41.221374045801525</v>
      </c>
      <c r="I9" s="23">
        <f t="shared" si="0"/>
        <v>29.189189189189189</v>
      </c>
      <c r="J9" s="4"/>
      <c r="K9" s="14" t="s">
        <v>22</v>
      </c>
      <c r="L9" s="7">
        <f>H20-H21</f>
        <v>12.068965517241381</v>
      </c>
      <c r="M9" s="8"/>
      <c r="N9" s="7">
        <f>H19-H20</f>
        <v>8.9189189189189193</v>
      </c>
      <c r="O9" s="8"/>
      <c r="P9" s="7">
        <f>H19-H21</f>
        <v>20.9878844361603</v>
      </c>
    </row>
    <row r="10" spans="2:16" x14ac:dyDescent="0.3">
      <c r="B10" s="34" t="s">
        <v>19</v>
      </c>
      <c r="C10" s="3" t="s">
        <v>15</v>
      </c>
      <c r="D10" s="3">
        <v>183</v>
      </c>
      <c r="E10" s="3">
        <v>110</v>
      </c>
      <c r="F10" s="3">
        <v>73</v>
      </c>
      <c r="G10" s="3">
        <v>2</v>
      </c>
      <c r="H10" s="18">
        <f t="shared" si="1"/>
        <v>60.10928961748634</v>
      </c>
      <c r="I10" s="22">
        <f t="shared" si="0"/>
        <v>1.0810810810810811</v>
      </c>
      <c r="J10" s="4"/>
      <c r="K10" s="14" t="s">
        <v>23</v>
      </c>
      <c r="L10" s="9"/>
      <c r="M10" s="7">
        <f>H23-H20</f>
        <v>-16.990291262135919</v>
      </c>
      <c r="N10" s="7">
        <f>H22-H23</f>
        <v>30.774075045919709</v>
      </c>
      <c r="O10" s="7">
        <f>H22-H20</f>
        <v>13.78378378378379</v>
      </c>
      <c r="P10" s="7">
        <f>H22-H21</f>
        <v>25.85274930102517</v>
      </c>
    </row>
    <row r="11" spans="2:16" x14ac:dyDescent="0.3">
      <c r="B11" s="34"/>
      <c r="C11" s="3" t="s">
        <v>16</v>
      </c>
      <c r="D11" s="3">
        <v>185</v>
      </c>
      <c r="E11" s="3">
        <v>112</v>
      </c>
      <c r="F11" s="3">
        <v>73</v>
      </c>
      <c r="G11" s="3">
        <v>0</v>
      </c>
      <c r="H11" s="18">
        <f t="shared" si="1"/>
        <v>60.540540540540547</v>
      </c>
      <c r="I11" s="22">
        <f t="shared" si="0"/>
        <v>0</v>
      </c>
      <c r="J11" s="4"/>
    </row>
    <row r="12" spans="2:16" x14ac:dyDescent="0.3">
      <c r="B12" s="34"/>
      <c r="C12" s="3" t="s">
        <v>18</v>
      </c>
      <c r="D12" s="3">
        <v>184</v>
      </c>
      <c r="E12" s="3">
        <v>104</v>
      </c>
      <c r="F12" s="3">
        <v>80</v>
      </c>
      <c r="G12" s="3">
        <v>1</v>
      </c>
      <c r="H12" s="18">
        <f t="shared" si="1"/>
        <v>56.521739130434781</v>
      </c>
      <c r="I12" s="22">
        <f t="shared" si="0"/>
        <v>0.54054054054054057</v>
      </c>
      <c r="J12" s="4"/>
    </row>
    <row r="13" spans="2:16" x14ac:dyDescent="0.3">
      <c r="B13" s="34" t="s">
        <v>20</v>
      </c>
      <c r="C13" s="1" t="s">
        <v>15</v>
      </c>
      <c r="D13" s="1">
        <v>25</v>
      </c>
      <c r="E13" s="1">
        <v>5</v>
      </c>
      <c r="F13" s="1">
        <v>20</v>
      </c>
      <c r="G13" s="1">
        <v>160</v>
      </c>
      <c r="H13" s="19">
        <f t="shared" si="1"/>
        <v>20</v>
      </c>
      <c r="I13" s="23">
        <f t="shared" si="0"/>
        <v>86.486486486486484</v>
      </c>
      <c r="J13" s="4"/>
    </row>
    <row r="14" spans="2:16" x14ac:dyDescent="0.3">
      <c r="B14" s="34"/>
      <c r="C14" s="1" t="s">
        <v>16</v>
      </c>
      <c r="D14" s="1">
        <v>16</v>
      </c>
      <c r="E14" s="1">
        <v>6</v>
      </c>
      <c r="F14" s="1">
        <v>10</v>
      </c>
      <c r="G14" s="1">
        <v>169</v>
      </c>
      <c r="H14" s="19">
        <f t="shared" si="1"/>
        <v>37.5</v>
      </c>
      <c r="I14" s="23">
        <f t="shared" si="0"/>
        <v>91.351351351351354</v>
      </c>
      <c r="J14" s="4"/>
      <c r="K14" s="37" t="s">
        <v>24</v>
      </c>
      <c r="L14" s="38"/>
      <c r="M14" s="38"/>
      <c r="N14" s="38"/>
      <c r="O14" s="38"/>
      <c r="P14" s="39"/>
    </row>
    <row r="15" spans="2:16" x14ac:dyDescent="0.3">
      <c r="B15" s="34"/>
      <c r="C15" s="1" t="s">
        <v>18</v>
      </c>
      <c r="D15" s="1">
        <v>13</v>
      </c>
      <c r="E15" s="1">
        <v>4</v>
      </c>
      <c r="F15" s="1">
        <v>9</v>
      </c>
      <c r="G15" s="1">
        <v>172</v>
      </c>
      <c r="H15" s="19">
        <f t="shared" si="1"/>
        <v>30.76923076923077</v>
      </c>
      <c r="I15" s="23">
        <f t="shared" si="0"/>
        <v>92.972972972972983</v>
      </c>
      <c r="J15" s="4"/>
      <c r="K15" s="45" t="s">
        <v>25</v>
      </c>
      <c r="L15" s="46"/>
      <c r="M15" s="45" t="s">
        <v>16</v>
      </c>
      <c r="N15" s="46"/>
      <c r="O15" s="45" t="s">
        <v>15</v>
      </c>
      <c r="P15" s="46"/>
    </row>
    <row r="16" spans="2:16" x14ac:dyDescent="0.3">
      <c r="B16" s="40" t="s">
        <v>21</v>
      </c>
      <c r="C16" s="3" t="s">
        <v>15</v>
      </c>
      <c r="D16" s="3">
        <v>182</v>
      </c>
      <c r="E16" s="3">
        <v>66</v>
      </c>
      <c r="F16" s="3">
        <v>116</v>
      </c>
      <c r="G16" s="3">
        <v>3</v>
      </c>
      <c r="H16" s="18">
        <f t="shared" si="1"/>
        <v>36.263736263736263</v>
      </c>
      <c r="I16" s="22">
        <f t="shared" si="0"/>
        <v>1.6216216216216217</v>
      </c>
      <c r="J16" s="4"/>
      <c r="K16" s="21" t="s">
        <v>2</v>
      </c>
      <c r="L16" s="10" t="s">
        <v>26</v>
      </c>
      <c r="M16" s="21" t="s">
        <v>2</v>
      </c>
      <c r="N16" s="10" t="s">
        <v>26</v>
      </c>
      <c r="O16" s="21" t="s">
        <v>2</v>
      </c>
      <c r="P16" s="10" t="s">
        <v>26</v>
      </c>
    </row>
    <row r="17" spans="2:16" x14ac:dyDescent="0.3">
      <c r="B17" s="41"/>
      <c r="C17" s="3" t="s">
        <v>16</v>
      </c>
      <c r="D17" s="3">
        <v>100</v>
      </c>
      <c r="E17" s="3">
        <v>44</v>
      </c>
      <c r="F17" s="3">
        <v>56</v>
      </c>
      <c r="G17" s="3">
        <v>85</v>
      </c>
      <c r="H17" s="18">
        <f t="shared" si="1"/>
        <v>44</v>
      </c>
      <c r="I17" s="22">
        <f t="shared" si="0"/>
        <v>45.945945945945951</v>
      </c>
      <c r="J17" s="4"/>
      <c r="K17" s="1" t="s">
        <v>14</v>
      </c>
      <c r="L17" s="11">
        <v>55.135135135135137</v>
      </c>
      <c r="M17" s="1" t="s">
        <v>14</v>
      </c>
      <c r="N17" s="11">
        <v>62.702702702702709</v>
      </c>
      <c r="O17" s="1" t="s">
        <v>23</v>
      </c>
      <c r="P17" s="11">
        <v>63.78378378378379</v>
      </c>
    </row>
    <row r="18" spans="2:16" x14ac:dyDescent="0.3">
      <c r="B18" s="42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19</v>
      </c>
      <c r="L18" s="11">
        <v>56.521739130434781</v>
      </c>
      <c r="M18" s="1" t="s">
        <v>19</v>
      </c>
      <c r="N18" s="11">
        <v>60.540540540540547</v>
      </c>
      <c r="O18" s="1" t="s">
        <v>17</v>
      </c>
      <c r="P18" s="11">
        <v>60.10928961748634</v>
      </c>
    </row>
    <row r="19" spans="2:16" x14ac:dyDescent="0.3">
      <c r="B19" s="34" t="s">
        <v>22</v>
      </c>
      <c r="C19" s="1" t="s">
        <v>15</v>
      </c>
      <c r="D19" s="1">
        <v>185</v>
      </c>
      <c r="E19" s="1">
        <v>109</v>
      </c>
      <c r="F19" s="1">
        <v>76</v>
      </c>
      <c r="G19" s="1">
        <v>0</v>
      </c>
      <c r="H19" s="19">
        <f t="shared" si="1"/>
        <v>58.918918918918919</v>
      </c>
      <c r="I19" s="23">
        <f>(G19/$D$29)*100</f>
        <v>0</v>
      </c>
      <c r="J19" s="4"/>
      <c r="K19" s="1"/>
      <c r="L19" s="11"/>
      <c r="M19" s="1"/>
      <c r="N19" s="11"/>
      <c r="O19" s="1"/>
      <c r="P19" s="11"/>
    </row>
    <row r="20" spans="2:16" x14ac:dyDescent="0.3">
      <c r="B20" s="34"/>
      <c r="C20" s="1" t="s">
        <v>16</v>
      </c>
      <c r="D20" s="1">
        <v>112</v>
      </c>
      <c r="E20" s="1">
        <v>56</v>
      </c>
      <c r="F20" s="1">
        <v>56</v>
      </c>
      <c r="G20" s="1">
        <v>73</v>
      </c>
      <c r="H20" s="19">
        <f t="shared" si="1"/>
        <v>50</v>
      </c>
      <c r="I20" s="23">
        <f>(G20/$D$29)*100</f>
        <v>39.45945945945946</v>
      </c>
      <c r="J20" s="4"/>
      <c r="K20" s="1" t="s">
        <v>17</v>
      </c>
      <c r="L20" s="11">
        <v>41.221374045801525</v>
      </c>
      <c r="M20" s="1" t="s">
        <v>17</v>
      </c>
      <c r="N20" s="11">
        <v>58.378378378378379</v>
      </c>
      <c r="O20" s="1" t="s">
        <v>20</v>
      </c>
      <c r="P20" s="11">
        <v>58.918918918918919</v>
      </c>
    </row>
    <row r="21" spans="2:16" x14ac:dyDescent="0.3">
      <c r="B21" s="34"/>
      <c r="C21" s="1" t="s">
        <v>18</v>
      </c>
      <c r="D21" s="1">
        <v>87</v>
      </c>
      <c r="E21" s="1">
        <v>33</v>
      </c>
      <c r="F21" s="1">
        <v>54</v>
      </c>
      <c r="G21" s="1">
        <v>98</v>
      </c>
      <c r="H21" s="19">
        <f t="shared" si="1"/>
        <v>37.931034482758619</v>
      </c>
      <c r="I21" s="23">
        <f>(G21/$D$29)*100</f>
        <v>52.972972972972975</v>
      </c>
      <c r="J21" s="4"/>
      <c r="K21" s="1" t="s">
        <v>22</v>
      </c>
      <c r="L21" s="11">
        <v>37.931034482758619</v>
      </c>
      <c r="M21" s="1" t="s">
        <v>22</v>
      </c>
      <c r="N21" s="11">
        <v>50</v>
      </c>
      <c r="O21" s="1" t="s">
        <v>14</v>
      </c>
      <c r="P21" s="11">
        <v>57.837837837837839</v>
      </c>
    </row>
    <row r="22" spans="2:16" x14ac:dyDescent="0.3">
      <c r="B22" s="43" t="s">
        <v>23</v>
      </c>
      <c r="C22" s="3" t="s">
        <v>15</v>
      </c>
      <c r="D22" s="3">
        <v>185</v>
      </c>
      <c r="E22" s="3">
        <v>118</v>
      </c>
      <c r="F22" s="3">
        <v>67</v>
      </c>
      <c r="G22" s="3">
        <v>0</v>
      </c>
      <c r="H22" s="18">
        <f t="shared" si="1"/>
        <v>63.78378378378379</v>
      </c>
      <c r="I22" s="22">
        <f>(G22/$D$29)*100</f>
        <v>0</v>
      </c>
      <c r="J22" s="4"/>
      <c r="K22" s="1" t="s">
        <v>20</v>
      </c>
      <c r="L22" s="11">
        <v>30.76923076923077</v>
      </c>
      <c r="M22" s="1" t="s">
        <v>21</v>
      </c>
      <c r="N22" s="11">
        <v>44</v>
      </c>
      <c r="O22" s="1" t="s">
        <v>19</v>
      </c>
      <c r="P22" s="11">
        <v>57.837837837837839</v>
      </c>
    </row>
    <row r="23" spans="2:16" x14ac:dyDescent="0.3">
      <c r="B23" s="44"/>
      <c r="C23" s="3" t="s">
        <v>16</v>
      </c>
      <c r="D23" s="5">
        <v>103</v>
      </c>
      <c r="E23" s="5">
        <v>34</v>
      </c>
      <c r="F23" s="5">
        <v>69</v>
      </c>
      <c r="G23" s="5">
        <v>32</v>
      </c>
      <c r="H23" s="18">
        <f t="shared" si="1"/>
        <v>33.009708737864081</v>
      </c>
      <c r="I23" s="22">
        <f>(G23/$D$29)*100</f>
        <v>17.297297297297298</v>
      </c>
      <c r="J23" s="4"/>
      <c r="M23" s="1" t="s">
        <v>20</v>
      </c>
      <c r="N23" s="11">
        <v>37.5</v>
      </c>
      <c r="O23" s="1" t="s">
        <v>21</v>
      </c>
      <c r="P23" s="11">
        <v>36.263736263736263</v>
      </c>
    </row>
    <row r="24" spans="2:16" x14ac:dyDescent="0.3">
      <c r="B24" s="44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23</v>
      </c>
      <c r="N24" s="11">
        <v>33.009708737864081</v>
      </c>
      <c r="O24" s="1" t="s">
        <v>22</v>
      </c>
      <c r="P24" s="11">
        <v>20</v>
      </c>
    </row>
    <row r="25" spans="2:16" x14ac:dyDescent="0.3">
      <c r="J25" s="4"/>
    </row>
    <row r="27" spans="2:16" x14ac:dyDescent="0.3">
      <c r="B27" s="30" t="s">
        <v>27</v>
      </c>
      <c r="C27" s="30"/>
      <c r="D27" s="30"/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185</v>
      </c>
      <c r="D29" s="12">
        <v>185</v>
      </c>
    </row>
    <row r="30" spans="2:16" x14ac:dyDescent="0.3">
      <c r="B30" s="15" t="s">
        <v>32</v>
      </c>
      <c r="C30" s="12">
        <v>0</v>
      </c>
      <c r="D30" s="12">
        <v>0</v>
      </c>
    </row>
    <row r="31" spans="2:16" x14ac:dyDescent="0.3">
      <c r="B31" s="15" t="s">
        <v>33</v>
      </c>
      <c r="C31" s="12">
        <f>SUM(C29:C30)</f>
        <v>185</v>
      </c>
      <c r="D31" s="12">
        <f t="shared" ref="D31" si="2">SUM(D29:D30)</f>
        <v>185</v>
      </c>
    </row>
  </sheetData>
  <mergeCells count="15">
    <mergeCell ref="B27:D27"/>
    <mergeCell ref="B2:I2"/>
    <mergeCell ref="K2:P2"/>
    <mergeCell ref="B4:B6"/>
    <mergeCell ref="B7:B9"/>
    <mergeCell ref="B3:C3"/>
    <mergeCell ref="K14:P14"/>
    <mergeCell ref="B10:B12"/>
    <mergeCell ref="B13:B15"/>
    <mergeCell ref="B16:B18"/>
    <mergeCell ref="B22:B24"/>
    <mergeCell ref="K15:L15"/>
    <mergeCell ref="M15:N15"/>
    <mergeCell ref="O15:P15"/>
    <mergeCell ref="B19:B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2299-F3E1-4CF5-953B-839F23BC141A}">
  <dimension ref="A1:D10"/>
  <sheetViews>
    <sheetView workbookViewId="0">
      <selection activeCell="G9" sqref="G9"/>
    </sheetView>
  </sheetViews>
  <sheetFormatPr baseColWidth="10" defaultRowHeight="14.4" x14ac:dyDescent="0.3"/>
  <cols>
    <col min="1" max="4" width="14.44140625" style="47" customWidth="1"/>
  </cols>
  <sheetData>
    <row r="1" spans="1:4" s="27" customFormat="1" x14ac:dyDescent="0.3">
      <c r="A1" s="48" t="s">
        <v>37</v>
      </c>
      <c r="B1" s="48" t="s">
        <v>39</v>
      </c>
      <c r="C1" s="48" t="s">
        <v>40</v>
      </c>
      <c r="D1" s="48" t="s">
        <v>41</v>
      </c>
    </row>
    <row r="2" spans="1:4" x14ac:dyDescent="0.3">
      <c r="A2" s="15" t="s">
        <v>42</v>
      </c>
      <c r="B2" s="49">
        <v>1025</v>
      </c>
      <c r="C2" s="49">
        <v>29</v>
      </c>
      <c r="D2" s="50">
        <v>2.8299999999999999E-2</v>
      </c>
    </row>
    <row r="3" spans="1:4" x14ac:dyDescent="0.3">
      <c r="A3" s="15" t="s">
        <v>43</v>
      </c>
      <c r="B3" s="49">
        <v>967</v>
      </c>
      <c r="C3" s="49">
        <v>20</v>
      </c>
      <c r="D3" s="50">
        <v>2.07E-2</v>
      </c>
    </row>
    <row r="4" spans="1:4" x14ac:dyDescent="0.3">
      <c r="A4" s="15" t="s">
        <v>44</v>
      </c>
      <c r="B4" s="49">
        <v>1025</v>
      </c>
      <c r="C4" s="49">
        <v>16</v>
      </c>
      <c r="D4" s="50">
        <v>1.5599999999999999E-2</v>
      </c>
    </row>
    <row r="5" spans="1:4" x14ac:dyDescent="0.3">
      <c r="A5" s="15" t="s">
        <v>45</v>
      </c>
      <c r="B5" s="49">
        <v>1025</v>
      </c>
      <c r="C5" s="49">
        <v>12</v>
      </c>
      <c r="D5" s="50">
        <v>1.17E-2</v>
      </c>
    </row>
    <row r="6" spans="1:4" x14ac:dyDescent="0.3">
      <c r="A6" s="15" t="s">
        <v>46</v>
      </c>
      <c r="B6" s="49">
        <v>900</v>
      </c>
      <c r="C6" s="49">
        <v>18</v>
      </c>
      <c r="D6" s="50">
        <v>0.02</v>
      </c>
    </row>
    <row r="7" spans="1:4" x14ac:dyDescent="0.3">
      <c r="A7" s="15" t="s">
        <v>47</v>
      </c>
      <c r="B7" s="49">
        <v>1025</v>
      </c>
      <c r="C7" s="49">
        <v>32</v>
      </c>
      <c r="D7" s="50">
        <v>3.1199999999999999E-2</v>
      </c>
    </row>
    <row r="8" spans="1:4" x14ac:dyDescent="0.3">
      <c r="A8" s="15" t="s">
        <v>48</v>
      </c>
      <c r="B8" s="49">
        <v>1010</v>
      </c>
      <c r="C8" s="49">
        <v>23</v>
      </c>
      <c r="D8" s="50">
        <v>2.2800000000000001E-2</v>
      </c>
    </row>
    <row r="9" spans="1:4" x14ac:dyDescent="0.3">
      <c r="A9" s="51" t="s">
        <v>33</v>
      </c>
      <c r="B9" s="52">
        <v>6977</v>
      </c>
      <c r="C9" s="52">
        <v>150</v>
      </c>
      <c r="D9" s="53">
        <v>2.1499999999999998E-2</v>
      </c>
    </row>
    <row r="10" spans="1:4" x14ac:dyDescent="0.3">
      <c r="A10" s="54"/>
      <c r="B10" s="54"/>
      <c r="C10" s="54"/>
      <c r="D10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46C-E96F-4BDB-8667-07C2AF88758F}">
  <sheetPr>
    <tabColor theme="7" tint="0.59999389629810485"/>
  </sheetPr>
  <dimension ref="B2:R31"/>
  <sheetViews>
    <sheetView tabSelected="1" zoomScale="76" zoomScaleNormal="70" workbookViewId="0">
      <selection activeCell="K28" sqref="K28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8" width="14.21875" customWidth="1"/>
    <col min="9" max="12" width="11.6640625" customWidth="1"/>
    <col min="13" max="18" width="14.5546875" customWidth="1"/>
  </cols>
  <sheetData>
    <row r="2" spans="2:18" x14ac:dyDescent="0.3">
      <c r="B2" s="31" t="s">
        <v>34</v>
      </c>
      <c r="C2" s="32"/>
      <c r="D2" s="32"/>
      <c r="E2" s="32"/>
      <c r="F2" s="32"/>
      <c r="G2" s="32"/>
      <c r="H2" s="32"/>
      <c r="I2" s="32"/>
      <c r="J2" s="32"/>
      <c r="M2" s="33" t="s">
        <v>1</v>
      </c>
      <c r="N2" s="33"/>
      <c r="O2" s="33"/>
      <c r="P2" s="33"/>
      <c r="Q2" s="33"/>
      <c r="R2" s="33"/>
    </row>
    <row r="3" spans="2:18" s="27" customFormat="1" ht="43.2" x14ac:dyDescent="0.3">
      <c r="B3" s="35" t="s">
        <v>2</v>
      </c>
      <c r="C3" s="36"/>
      <c r="D3" s="2" t="s">
        <v>3</v>
      </c>
      <c r="E3" s="2" t="s">
        <v>4</v>
      </c>
      <c r="F3" s="2" t="s">
        <v>5</v>
      </c>
      <c r="G3" s="2" t="s">
        <v>38</v>
      </c>
      <c r="H3" s="2" t="s">
        <v>6</v>
      </c>
      <c r="I3" s="6" t="s">
        <v>7</v>
      </c>
      <c r="J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E4+F4</f>
        <v>6811</v>
      </c>
      <c r="E4" s="3">
        <v>3367</v>
      </c>
      <c r="F4" s="3">
        <v>3444</v>
      </c>
      <c r="G4" s="3">
        <f t="shared" ref="G4:G17" si="0">$C$29-D4-H4</f>
        <v>150</v>
      </c>
      <c r="H4" s="3">
        <v>16</v>
      </c>
      <c r="I4" s="18">
        <f t="shared" ref="I4:I17" si="1">(E4/D4)*100</f>
        <v>49.434737923946557</v>
      </c>
      <c r="J4" s="18">
        <f>(H4/6827)*100</f>
        <v>0.23436355646696941</v>
      </c>
      <c r="K4" s="4"/>
      <c r="L4" s="4"/>
      <c r="M4" s="14" t="s">
        <v>14</v>
      </c>
      <c r="N4" s="7">
        <f>I5-I6</f>
        <v>2.1104460377115117</v>
      </c>
      <c r="O4" s="8"/>
      <c r="P4" s="7">
        <f>I4-I5</f>
        <v>0.58660879702065927</v>
      </c>
      <c r="Q4" s="8"/>
      <c r="R4" s="7">
        <f>I4-I6</f>
        <v>2.697054834732171</v>
      </c>
    </row>
    <row r="5" spans="2:18" x14ac:dyDescent="0.3">
      <c r="B5" s="34"/>
      <c r="C5" s="3" t="s">
        <v>16</v>
      </c>
      <c r="D5" s="3">
        <f t="shared" ref="D5:D23" si="2">E5+F5</f>
        <v>6815</v>
      </c>
      <c r="E5" s="3">
        <f>MEDICINA!F5+ENFERMERÍA!F5+BIOLOGÍA!F5+FARMACIA!F5+PSICOLOGÍA!F5+FÍSICA!F5+QUÍMICA!F5</f>
        <v>3329</v>
      </c>
      <c r="F5" s="3">
        <v>3486</v>
      </c>
      <c r="G5" s="3">
        <f t="shared" si="0"/>
        <v>150</v>
      </c>
      <c r="H5" s="3">
        <f>MEDICINA!H5+ENFERMERÍA!H5+BIOLOGÍA!H5+FARMACIA!H5+PSICOLOGÍA!H5+FÍSICA!H5+QUÍMICA!H5</f>
        <v>12</v>
      </c>
      <c r="I5" s="18">
        <f t="shared" si="1"/>
        <v>48.848129126925897</v>
      </c>
      <c r="J5" s="18">
        <f t="shared" ref="J5:J23" si="3">(H5/6827)*100</f>
        <v>0.17577266735022704</v>
      </c>
      <c r="K5" s="4"/>
      <c r="L5" s="4"/>
      <c r="M5" s="14" t="s">
        <v>17</v>
      </c>
      <c r="N5" s="7">
        <f>I11-I12</f>
        <v>8.2909411276504983</v>
      </c>
      <c r="O5" s="8"/>
      <c r="P5" s="7">
        <f>I10-I11</f>
        <v>-0.16482738186429913</v>
      </c>
      <c r="Q5" s="8"/>
      <c r="R5" s="7">
        <f>I10-I12</f>
        <v>8.1261137457861992</v>
      </c>
    </row>
    <row r="6" spans="2:18" x14ac:dyDescent="0.3">
      <c r="B6" s="34"/>
      <c r="C6" s="3" t="s">
        <v>18</v>
      </c>
      <c r="D6" s="3">
        <f t="shared" si="2"/>
        <v>6759</v>
      </c>
      <c r="E6" s="3">
        <v>3159</v>
      </c>
      <c r="F6" s="3">
        <v>3600</v>
      </c>
      <c r="G6" s="3">
        <f t="shared" si="0"/>
        <v>150</v>
      </c>
      <c r="H6" s="3">
        <v>68</v>
      </c>
      <c r="I6" s="18">
        <f t="shared" si="1"/>
        <v>46.737683089214386</v>
      </c>
      <c r="J6" s="18">
        <f t="shared" si="3"/>
        <v>0.99604511498461978</v>
      </c>
      <c r="K6" s="4"/>
      <c r="L6" s="4"/>
      <c r="M6" s="14" t="s">
        <v>19</v>
      </c>
      <c r="N6" s="7">
        <f>I8-I9</f>
        <v>0.27946491023742226</v>
      </c>
      <c r="O6" s="8"/>
      <c r="P6" s="7">
        <f>I7-I8</f>
        <v>0.28922206244587301</v>
      </c>
      <c r="Q6" s="8"/>
      <c r="R6" s="7">
        <f>I7-I9</f>
        <v>0.56868697268329527</v>
      </c>
    </row>
    <row r="7" spans="2:18" x14ac:dyDescent="0.3">
      <c r="B7" s="34" t="s">
        <v>19</v>
      </c>
      <c r="C7" s="1" t="s">
        <v>15</v>
      </c>
      <c r="D7" s="1">
        <f t="shared" si="2"/>
        <v>6768</v>
      </c>
      <c r="E7" s="1">
        <v>3030</v>
      </c>
      <c r="F7" s="1">
        <v>3738</v>
      </c>
      <c r="G7" s="1">
        <f t="shared" si="0"/>
        <v>150</v>
      </c>
      <c r="H7" s="1">
        <v>59</v>
      </c>
      <c r="I7" s="19">
        <f t="shared" si="1"/>
        <v>44.769503546099294</v>
      </c>
      <c r="J7" s="19">
        <f t="shared" si="3"/>
        <v>0.86421561447194961</v>
      </c>
      <c r="K7" s="4"/>
      <c r="L7" s="4"/>
      <c r="M7" s="14" t="s">
        <v>20</v>
      </c>
      <c r="N7" s="7">
        <f>I14-I15</f>
        <v>-2.6925609938631965</v>
      </c>
      <c r="O7" s="8"/>
      <c r="P7" s="7">
        <f>I13-I14</f>
        <v>0.92050528466718617</v>
      </c>
      <c r="Q7" s="8"/>
      <c r="R7" s="7">
        <f>I13-I15</f>
        <v>-1.7720557091960103</v>
      </c>
    </row>
    <row r="8" spans="2:18" x14ac:dyDescent="0.3">
      <c r="B8" s="34"/>
      <c r="C8" s="1" t="s">
        <v>16</v>
      </c>
      <c r="D8" s="1">
        <f t="shared" si="2"/>
        <v>6821</v>
      </c>
      <c r="E8" s="1">
        <f>MEDICINA!F11+ENFERMERÍA!F11+BIOLOGÍA!F11+FARMACIA!F11+PSICOLOGÍA!F11+FÍSICA!F11+QUÍMICA!F11</f>
        <v>3034</v>
      </c>
      <c r="F8" s="1">
        <v>3787</v>
      </c>
      <c r="G8" s="1">
        <f t="shared" si="0"/>
        <v>150</v>
      </c>
      <c r="H8" s="1">
        <f>MEDICINA!H11+ENFERMERÍA!H11+BIOLOGÍA!H11+FARMACIA!H11+PSICOLOGÍA!H11+FÍSICA!H11+QUÍMICA!H11</f>
        <v>6</v>
      </c>
      <c r="I8" s="19">
        <f t="shared" si="1"/>
        <v>44.480281483653421</v>
      </c>
      <c r="J8" s="19">
        <f t="shared" si="3"/>
        <v>8.7886333675113518E-2</v>
      </c>
      <c r="K8" s="4"/>
      <c r="L8" s="4"/>
      <c r="M8" s="14" t="s">
        <v>21</v>
      </c>
      <c r="N8" s="9"/>
      <c r="O8" s="7">
        <f>I17-I14</f>
        <v>5.9585927518924571</v>
      </c>
      <c r="P8" s="7">
        <f>I16-I17</f>
        <v>-0.78670619770081274</v>
      </c>
      <c r="Q8" s="7">
        <f>I16-I13</f>
        <v>4.2513812695244582</v>
      </c>
      <c r="R8" s="7">
        <f>I16-I15</f>
        <v>2.4793255603284479</v>
      </c>
    </row>
    <row r="9" spans="2:18" x14ac:dyDescent="0.3">
      <c r="B9" s="34"/>
      <c r="C9" s="1" t="s">
        <v>18</v>
      </c>
      <c r="D9" s="1">
        <f t="shared" si="2"/>
        <v>6613</v>
      </c>
      <c r="E9" s="1">
        <v>2923</v>
      </c>
      <c r="F9" s="1">
        <v>3690</v>
      </c>
      <c r="G9" s="1">
        <f t="shared" si="0"/>
        <v>150</v>
      </c>
      <c r="H9" s="1">
        <v>214</v>
      </c>
      <c r="I9" s="19">
        <f t="shared" si="1"/>
        <v>44.200816573415999</v>
      </c>
      <c r="J9" s="19">
        <f t="shared" si="3"/>
        <v>3.1346125677457155</v>
      </c>
      <c r="K9" s="4"/>
      <c r="L9" s="4"/>
      <c r="M9" s="14" t="s">
        <v>22</v>
      </c>
      <c r="N9" s="7">
        <f>I20-I21</f>
        <v>14.158428356180352</v>
      </c>
      <c r="O9" s="8"/>
      <c r="P9" s="7">
        <f>I19-I20</f>
        <v>-6.8312016972530145</v>
      </c>
      <c r="Q9" s="8"/>
      <c r="R9" s="7">
        <f>I19-I21</f>
        <v>7.3272266589273372</v>
      </c>
    </row>
    <row r="10" spans="2:18" x14ac:dyDescent="0.3">
      <c r="B10" s="34" t="s">
        <v>17</v>
      </c>
      <c r="C10" s="3" t="s">
        <v>15</v>
      </c>
      <c r="D10" s="3">
        <f t="shared" si="2"/>
        <v>6774</v>
      </c>
      <c r="E10" s="3">
        <v>3041</v>
      </c>
      <c r="F10" s="3">
        <v>3733</v>
      </c>
      <c r="G10" s="3">
        <f t="shared" si="0"/>
        <v>150</v>
      </c>
      <c r="H10" s="3">
        <v>53</v>
      </c>
      <c r="I10" s="18">
        <f t="shared" si="1"/>
        <v>44.892235016238558</v>
      </c>
      <c r="J10" s="18">
        <f t="shared" si="3"/>
        <v>0.77632928079683616</v>
      </c>
      <c r="K10" s="4"/>
      <c r="L10" s="4"/>
      <c r="M10" s="14" t="s">
        <v>23</v>
      </c>
      <c r="N10" s="9"/>
      <c r="O10" s="7">
        <f>I23-I20</f>
        <v>-1.3562266550973234</v>
      </c>
      <c r="P10" s="7">
        <f>I22-I23</f>
        <v>-16.44199960596854</v>
      </c>
      <c r="Q10" s="7">
        <f>I22-I20</f>
        <v>-17.798226261065864</v>
      </c>
      <c r="R10" s="7">
        <f>I22-I21</f>
        <v>-3.639797904885512</v>
      </c>
    </row>
    <row r="11" spans="2:18" x14ac:dyDescent="0.3">
      <c r="B11" s="34"/>
      <c r="C11" s="3" t="s">
        <v>16</v>
      </c>
      <c r="D11" s="3">
        <f t="shared" si="2"/>
        <v>6747</v>
      </c>
      <c r="E11" s="3">
        <f>MEDICINA!F8+ENFERMERÍA!F8+BIOLOGÍA!F8+FARMACIA!F8+PSICOLOGÍA!F8+FÍSICA!F8+QUÍMICA!F8</f>
        <v>3040</v>
      </c>
      <c r="F11" s="3">
        <v>3707</v>
      </c>
      <c r="G11" s="3">
        <f t="shared" si="0"/>
        <v>150</v>
      </c>
      <c r="H11" s="3">
        <f>MEDICINA!H8+ENFERMERÍA!H8+BIOLOGÍA!H8+FARMACIA!H8+PSICOLOGÍA!H8+FÍSICA!H8+QUÍMICA!H8</f>
        <v>80</v>
      </c>
      <c r="I11" s="18">
        <f t="shared" si="1"/>
        <v>45.057062398102858</v>
      </c>
      <c r="J11" s="18">
        <f t="shared" si="3"/>
        <v>1.171817782334847</v>
      </c>
      <c r="K11" s="4"/>
      <c r="L11" s="4"/>
    </row>
    <row r="12" spans="2:18" x14ac:dyDescent="0.3">
      <c r="B12" s="34"/>
      <c r="C12" s="3" t="s">
        <v>18</v>
      </c>
      <c r="D12" s="3">
        <f t="shared" si="2"/>
        <v>5195</v>
      </c>
      <c r="E12" s="3">
        <v>1910</v>
      </c>
      <c r="F12" s="3">
        <v>3285</v>
      </c>
      <c r="G12" s="3">
        <f t="shared" si="0"/>
        <v>150</v>
      </c>
      <c r="H12" s="3">
        <v>1632</v>
      </c>
      <c r="I12" s="18">
        <f t="shared" si="1"/>
        <v>36.766121270452359</v>
      </c>
      <c r="J12" s="18">
        <f t="shared" si="3"/>
        <v>23.905082759630876</v>
      </c>
      <c r="K12" s="4"/>
      <c r="L12" s="4"/>
    </row>
    <row r="13" spans="2:18" x14ac:dyDescent="0.3">
      <c r="B13" s="34" t="s">
        <v>20</v>
      </c>
      <c r="C13" s="1" t="s">
        <v>15</v>
      </c>
      <c r="D13" s="1">
        <f t="shared" si="2"/>
        <v>2361</v>
      </c>
      <c r="E13" s="1">
        <v>641</v>
      </c>
      <c r="F13" s="1">
        <v>1720</v>
      </c>
      <c r="G13" s="1">
        <f t="shared" si="0"/>
        <v>150</v>
      </c>
      <c r="H13" s="1">
        <v>4466</v>
      </c>
      <c r="I13" s="19">
        <f t="shared" si="1"/>
        <v>27.149512918254974</v>
      </c>
      <c r="J13" s="19">
        <f t="shared" si="3"/>
        <v>65.41672769884282</v>
      </c>
      <c r="K13" s="4"/>
      <c r="L13" s="4"/>
    </row>
    <row r="14" spans="2:18" x14ac:dyDescent="0.3">
      <c r="B14" s="34"/>
      <c r="C14" s="1" t="s">
        <v>16</v>
      </c>
      <c r="D14" s="1">
        <f t="shared" si="2"/>
        <v>3275</v>
      </c>
      <c r="E14" s="1">
        <f>MEDICINA!F14+ENFERMERÍA!F14+BIOLOGÍA!F14+FARMACIA!F14+PSICOLOGÍA!F14+FÍSICA!F14+QUÍMICA!F14</f>
        <v>859</v>
      </c>
      <c r="F14" s="1">
        <v>2416</v>
      </c>
      <c r="G14" s="1">
        <f t="shared" si="0"/>
        <v>150</v>
      </c>
      <c r="H14" s="1">
        <f>MEDICINA!H14+ENFERMERÍA!H14+BIOLOGÍA!H14+FARMACIA!H14+PSICOLOGÍA!H14+FÍSICA!H14+QUÍMICA!H14</f>
        <v>3552</v>
      </c>
      <c r="I14" s="19">
        <f t="shared" si="1"/>
        <v>26.229007633587788</v>
      </c>
      <c r="J14" s="19">
        <f t="shared" si="3"/>
        <v>52.028709535667204</v>
      </c>
      <c r="K14" s="4"/>
      <c r="L14" s="4"/>
    </row>
    <row r="15" spans="2:18" x14ac:dyDescent="0.3">
      <c r="B15" s="34"/>
      <c r="C15" s="1" t="s">
        <v>18</v>
      </c>
      <c r="D15" s="1">
        <f t="shared" si="2"/>
        <v>1020</v>
      </c>
      <c r="E15" s="1">
        <v>295</v>
      </c>
      <c r="F15" s="1">
        <v>725</v>
      </c>
      <c r="G15" s="1">
        <f t="shared" si="0"/>
        <v>150</v>
      </c>
      <c r="H15" s="1">
        <v>5807</v>
      </c>
      <c r="I15" s="19">
        <f t="shared" si="1"/>
        <v>28.921568627450984</v>
      </c>
      <c r="J15" s="19">
        <f t="shared" si="3"/>
        <v>85.059323275230696</v>
      </c>
      <c r="K15" s="4"/>
      <c r="L15" s="4"/>
      <c r="M15" s="37" t="s">
        <v>24</v>
      </c>
      <c r="N15" s="38"/>
      <c r="O15" s="38"/>
      <c r="P15" s="38"/>
      <c r="Q15" s="38"/>
      <c r="R15" s="39"/>
    </row>
    <row r="16" spans="2:18" x14ac:dyDescent="0.3">
      <c r="B16" s="40" t="s">
        <v>21</v>
      </c>
      <c r="C16" s="3" t="s">
        <v>15</v>
      </c>
      <c r="D16" s="3">
        <f t="shared" si="2"/>
        <v>6710</v>
      </c>
      <c r="E16" s="3">
        <v>2107</v>
      </c>
      <c r="F16" s="3">
        <v>4603</v>
      </c>
      <c r="G16" s="3">
        <f t="shared" si="0"/>
        <v>150</v>
      </c>
      <c r="H16" s="3">
        <v>117</v>
      </c>
      <c r="I16" s="18">
        <f t="shared" si="1"/>
        <v>31.400894187779432</v>
      </c>
      <c r="J16" s="18">
        <f t="shared" si="3"/>
        <v>1.7137835066647136</v>
      </c>
      <c r="K16" s="4"/>
      <c r="L16" s="4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41"/>
      <c r="C17" s="3" t="s">
        <v>16</v>
      </c>
      <c r="D17" s="3">
        <f t="shared" si="2"/>
        <v>6226</v>
      </c>
      <c r="E17" s="3">
        <v>2004</v>
      </c>
      <c r="F17" s="3">
        <v>4222</v>
      </c>
      <c r="G17" s="3">
        <f t="shared" si="0"/>
        <v>150</v>
      </c>
      <c r="H17" s="3">
        <v>601</v>
      </c>
      <c r="I17" s="18">
        <f t="shared" si="1"/>
        <v>32.187600385480245</v>
      </c>
      <c r="J17" s="18">
        <f t="shared" si="3"/>
        <v>8.8032810897905378</v>
      </c>
      <c r="K17" s="4"/>
      <c r="L17" s="4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42"/>
      <c r="C18" s="24" t="s">
        <v>18</v>
      </c>
      <c r="D18" s="24"/>
      <c r="E18" s="24"/>
      <c r="F18" s="24"/>
      <c r="G18" s="24"/>
      <c r="H18" s="24"/>
      <c r="I18" s="25"/>
      <c r="J18" s="25">
        <f>(H18/6827)*100</f>
        <v>0</v>
      </c>
      <c r="K18" s="4"/>
      <c r="L18" s="4"/>
      <c r="M18" s="1" t="s">
        <v>14</v>
      </c>
      <c r="N18" s="11">
        <v>45.722970039079463</v>
      </c>
      <c r="O18" s="1" t="s">
        <v>14</v>
      </c>
      <c r="P18" s="11">
        <v>47.796123474515433</v>
      </c>
      <c r="Q18" s="1" t="s">
        <v>14</v>
      </c>
      <c r="R18" s="11">
        <v>48.36948714265192</v>
      </c>
    </row>
    <row r="19" spans="2:18" x14ac:dyDescent="0.3">
      <c r="B19" s="34" t="s">
        <v>22</v>
      </c>
      <c r="C19" s="1" t="s">
        <v>15</v>
      </c>
      <c r="D19" s="1">
        <f t="shared" si="2"/>
        <v>2985</v>
      </c>
      <c r="E19" s="1">
        <v>1164</v>
      </c>
      <c r="F19" s="1">
        <v>1821</v>
      </c>
      <c r="G19" s="1">
        <f>$C$29-D19-H19</f>
        <v>150</v>
      </c>
      <c r="H19" s="1">
        <v>3842</v>
      </c>
      <c r="I19" s="19">
        <f>(E19/D19)*100</f>
        <v>38.994974874371856</v>
      </c>
      <c r="J19" s="19">
        <f t="shared" si="3"/>
        <v>56.276548996631028</v>
      </c>
      <c r="K19" s="4"/>
      <c r="L19" s="4"/>
      <c r="M19" s="1" t="s">
        <v>19</v>
      </c>
      <c r="N19" s="11">
        <v>43.220464290995118</v>
      </c>
      <c r="O19" s="1" t="s">
        <v>22</v>
      </c>
      <c r="P19" s="11">
        <v>44.675150703281986</v>
      </c>
      <c r="Q19" s="1" t="s">
        <v>17</v>
      </c>
      <c r="R19" s="11">
        <v>43.919699595609472</v>
      </c>
    </row>
    <row r="20" spans="2:18" x14ac:dyDescent="0.3">
      <c r="B20" s="34"/>
      <c r="C20" s="1" t="s">
        <v>16</v>
      </c>
      <c r="D20" s="1">
        <f t="shared" si="2"/>
        <v>5822</v>
      </c>
      <c r="E20" s="1">
        <f>MEDICINA!F20+ENFERMERÍA!F20+BIOLOGÍA!F20+FARMACIA!F20+PSICOLOGÍA!F20+FÍSICA!F20+QUÍMICA!F20</f>
        <v>2668</v>
      </c>
      <c r="F20" s="1">
        <v>3154</v>
      </c>
      <c r="G20" s="1">
        <f>$C$29-D20-H20</f>
        <v>150</v>
      </c>
      <c r="H20" s="1">
        <f>MEDICINA!H20+ENFERMERÍA!H20+BIOLOGÍA!H20+FARMACIA!H20+PSICOLOGÍA!H20+FÍSICA!H20+QUÍMICA!H20</f>
        <v>1005</v>
      </c>
      <c r="I20" s="19">
        <f>(E20/D20)*100</f>
        <v>45.82617657162487</v>
      </c>
      <c r="J20" s="19">
        <f t="shared" si="3"/>
        <v>14.720960890581514</v>
      </c>
      <c r="K20" s="4"/>
      <c r="L20" s="4"/>
      <c r="M20" s="1" t="s">
        <v>17</v>
      </c>
      <c r="N20" s="11">
        <v>35.734331150608043</v>
      </c>
      <c r="O20" s="1" t="s">
        <v>17</v>
      </c>
      <c r="P20" s="11">
        <v>44.0771349862259</v>
      </c>
      <c r="Q20" s="1" t="s">
        <v>19</v>
      </c>
      <c r="R20" s="11">
        <v>43.798785776235903</v>
      </c>
    </row>
    <row r="21" spans="2:18" x14ac:dyDescent="0.3">
      <c r="B21" s="34"/>
      <c r="C21" s="1" t="s">
        <v>18</v>
      </c>
      <c r="D21" s="1">
        <f t="shared" si="2"/>
        <v>1541</v>
      </c>
      <c r="E21" s="1">
        <v>488</v>
      </c>
      <c r="F21" s="1">
        <v>1053</v>
      </c>
      <c r="G21" s="1">
        <f>$C$29-D21-H21</f>
        <v>150</v>
      </c>
      <c r="H21" s="1">
        <v>5286</v>
      </c>
      <c r="I21" s="19">
        <f>(E21/D21)*100</f>
        <v>31.667748215444519</v>
      </c>
      <c r="J21" s="19">
        <f t="shared" si="3"/>
        <v>77.427859967775021</v>
      </c>
      <c r="K21" s="4"/>
      <c r="L21" s="4"/>
      <c r="M21" s="1" t="s">
        <v>22</v>
      </c>
      <c r="N21" s="11">
        <v>28.858663512714372</v>
      </c>
      <c r="O21" s="1" t="s">
        <v>19</v>
      </c>
      <c r="P21" s="11">
        <v>43.523167407832446</v>
      </c>
      <c r="Q21" s="1" t="s">
        <v>22</v>
      </c>
      <c r="R21" s="11">
        <v>37.12918660287081</v>
      </c>
    </row>
    <row r="22" spans="2:18" x14ac:dyDescent="0.3">
      <c r="B22" s="34" t="s">
        <v>23</v>
      </c>
      <c r="C22" s="3" t="s">
        <v>15</v>
      </c>
      <c r="D22" s="3">
        <f t="shared" si="2"/>
        <v>1288</v>
      </c>
      <c r="E22" s="3">
        <v>361</v>
      </c>
      <c r="F22" s="3">
        <v>927</v>
      </c>
      <c r="G22" s="3">
        <f>$C$29-D22-H22</f>
        <v>150</v>
      </c>
      <c r="H22" s="3">
        <v>5539</v>
      </c>
      <c r="I22" s="18">
        <f>(E22/D22)*100</f>
        <v>28.027950310559007</v>
      </c>
      <c r="J22" s="18">
        <f t="shared" si="3"/>
        <v>81.133733704408968</v>
      </c>
      <c r="K22" s="4"/>
      <c r="L22" s="4"/>
      <c r="M22" s="1" t="s">
        <v>20</v>
      </c>
      <c r="N22" s="11">
        <v>25.213675213675213</v>
      </c>
      <c r="O22" s="1" t="s">
        <v>23</v>
      </c>
      <c r="P22" s="11">
        <v>43.120194253338731</v>
      </c>
      <c r="Q22" s="1" t="s">
        <v>21</v>
      </c>
      <c r="R22" s="11">
        <v>31.41399416909621</v>
      </c>
    </row>
    <row r="23" spans="2:18" x14ac:dyDescent="0.3">
      <c r="B23" s="34"/>
      <c r="C23" s="3" t="s">
        <v>16</v>
      </c>
      <c r="D23" s="3">
        <f t="shared" si="2"/>
        <v>4792</v>
      </c>
      <c r="E23" s="5">
        <v>2131</v>
      </c>
      <c r="F23" s="5">
        <v>2661</v>
      </c>
      <c r="G23" s="3">
        <f>$C$29-D23-H23</f>
        <v>150</v>
      </c>
      <c r="H23" s="5">
        <v>2035</v>
      </c>
      <c r="I23" s="18">
        <f>(E23/D23)*100</f>
        <v>44.469949916527547</v>
      </c>
      <c r="J23" s="18">
        <f t="shared" si="3"/>
        <v>29.808114838142668</v>
      </c>
      <c r="K23" s="4"/>
      <c r="L23" s="4"/>
      <c r="O23" s="1" t="s">
        <v>21</v>
      </c>
      <c r="P23" s="11">
        <v>31.430363864491845</v>
      </c>
      <c r="Q23" s="1" t="s">
        <v>20</v>
      </c>
      <c r="R23" s="11">
        <v>25.527678215850258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5"/>
      <c r="J24" s="25"/>
      <c r="K24" s="4"/>
      <c r="L24" s="4"/>
      <c r="O24" s="1" t="s">
        <v>20</v>
      </c>
      <c r="P24" s="11">
        <v>25.080291970802921</v>
      </c>
      <c r="Q24" s="1" t="s">
        <v>23</v>
      </c>
      <c r="R24" s="11">
        <v>25.104311543810848</v>
      </c>
    </row>
    <row r="25" spans="2:18" x14ac:dyDescent="0.3">
      <c r="K25" s="4"/>
      <c r="L25" s="4"/>
    </row>
    <row r="26" spans="2:18" x14ac:dyDescent="0.3">
      <c r="K26" s="4"/>
      <c r="L26" s="4"/>
    </row>
    <row r="27" spans="2:18" x14ac:dyDescent="0.3">
      <c r="B27" s="30" t="s">
        <v>27</v>
      </c>
      <c r="C27" s="30"/>
      <c r="D27" s="30"/>
      <c r="E27" s="30"/>
      <c r="F27" t="s">
        <v>36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</row>
    <row r="29" spans="2:18" x14ac:dyDescent="0.3">
      <c r="B29" s="15" t="s">
        <v>31</v>
      </c>
      <c r="C29" s="12">
        <v>6977</v>
      </c>
      <c r="D29" s="12">
        <v>150</v>
      </c>
      <c r="E29" s="12">
        <f>C29-D29</f>
        <v>6827</v>
      </c>
    </row>
    <row r="30" spans="2:18" x14ac:dyDescent="0.3">
      <c r="B30" s="15" t="s">
        <v>32</v>
      </c>
      <c r="C30" s="12">
        <v>182</v>
      </c>
      <c r="D30" s="12"/>
      <c r="E30" s="12"/>
    </row>
    <row r="31" spans="2:18" x14ac:dyDescent="0.3">
      <c r="B31" s="15" t="s">
        <v>33</v>
      </c>
      <c r="C31" s="12">
        <f>SUM(C29:C30)</f>
        <v>7159</v>
      </c>
      <c r="D31" s="12"/>
      <c r="E31" s="12"/>
    </row>
  </sheetData>
  <mergeCells count="15">
    <mergeCell ref="B19:B21"/>
    <mergeCell ref="B13:B15"/>
    <mergeCell ref="M15:R15"/>
    <mergeCell ref="Q16:R16"/>
    <mergeCell ref="O16:P16"/>
    <mergeCell ref="M16:N16"/>
    <mergeCell ref="B16:B18"/>
    <mergeCell ref="B22:B24"/>
    <mergeCell ref="B27:E27"/>
    <mergeCell ref="B7:B9"/>
    <mergeCell ref="M2:R2"/>
    <mergeCell ref="B3:C3"/>
    <mergeCell ref="B4:B6"/>
    <mergeCell ref="B10:B12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A53-6D46-484A-866A-B9870A79B8A2}">
  <sheetPr>
    <tabColor theme="8" tint="0.59999389629810485"/>
  </sheetPr>
  <dimension ref="B2:R31"/>
  <sheetViews>
    <sheetView zoomScale="75" zoomScaleNormal="75" workbookViewId="0">
      <selection activeCell="B28" sqref="B28:E28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4" width="12.77734375" bestFit="1" customWidth="1"/>
    <col min="5" max="12" width="11.6640625" customWidth="1"/>
    <col min="13" max="18" width="14.5546875" customWidth="1"/>
  </cols>
  <sheetData>
    <row r="2" spans="2:18" x14ac:dyDescent="0.3">
      <c r="B2" s="55" t="s">
        <v>46</v>
      </c>
      <c r="C2" s="55"/>
      <c r="D2" s="55"/>
      <c r="E2" s="55"/>
      <c r="F2" s="55"/>
      <c r="G2" s="55"/>
      <c r="H2" s="55"/>
      <c r="I2" s="55"/>
      <c r="J2" s="55"/>
      <c r="K2" s="55"/>
      <c r="M2" s="33" t="s">
        <v>1</v>
      </c>
      <c r="N2" s="33"/>
      <c r="O2" s="33"/>
      <c r="P2" s="33"/>
      <c r="Q2" s="33"/>
      <c r="R2" s="33"/>
    </row>
    <row r="3" spans="2:18" ht="43.2" x14ac:dyDescent="0.3">
      <c r="B3" s="56" t="s">
        <v>2</v>
      </c>
      <c r="C3" s="56"/>
      <c r="D3" s="57" t="s">
        <v>51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50</v>
      </c>
      <c r="J3" s="6" t="s">
        <v>7</v>
      </c>
      <c r="K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E4+H4+I4</f>
        <v>900</v>
      </c>
      <c r="E4" s="3">
        <f>F4+G4</f>
        <v>882</v>
      </c>
      <c r="F4" s="3">
        <v>445</v>
      </c>
      <c r="G4" s="3">
        <v>437</v>
      </c>
      <c r="H4" s="3">
        <v>0</v>
      </c>
      <c r="I4" s="3">
        <v>18</v>
      </c>
      <c r="J4" s="18">
        <f>(F4/E4)*100</f>
        <v>50.453514739229021</v>
      </c>
      <c r="K4" s="18">
        <f>(H4/864)*100</f>
        <v>0</v>
      </c>
      <c r="L4" s="29"/>
      <c r="M4" s="14" t="s">
        <v>14</v>
      </c>
      <c r="N4" s="7">
        <f>J5-J6</f>
        <v>0.68698701956104458</v>
      </c>
      <c r="O4" s="8"/>
      <c r="P4" s="7">
        <f>J4-J5</f>
        <v>1.2471655328798192</v>
      </c>
      <c r="Q4" s="8"/>
      <c r="R4" s="7">
        <f>J4-J6</f>
        <v>1.9341525524408638</v>
      </c>
    </row>
    <row r="5" spans="2:18" x14ac:dyDescent="0.3">
      <c r="B5" s="34"/>
      <c r="C5" s="3" t="s">
        <v>16</v>
      </c>
      <c r="D5" s="3">
        <f t="shared" ref="D5:D24" si="0">E5+H5+I5</f>
        <v>900</v>
      </c>
      <c r="E5" s="3">
        <f t="shared" ref="E5:E24" si="1">F5+G5</f>
        <v>882</v>
      </c>
      <c r="F5" s="3">
        <v>434</v>
      </c>
      <c r="G5" s="3">
        <v>448</v>
      </c>
      <c r="H5" s="3">
        <v>0</v>
      </c>
      <c r="I5" s="3">
        <v>18</v>
      </c>
      <c r="J5" s="18">
        <f t="shared" ref="J5:J23" si="2">(F5/E5)*100</f>
        <v>49.206349206349202</v>
      </c>
      <c r="K5" s="18">
        <f t="shared" ref="K5:K23" si="3">(H5/864)*100</f>
        <v>0</v>
      </c>
      <c r="L5" s="4"/>
      <c r="M5" s="14" t="s">
        <v>17</v>
      </c>
      <c r="N5" s="7">
        <f>J8-J9</f>
        <v>8.3941507311586037</v>
      </c>
      <c r="O5" s="8"/>
      <c r="P5" s="7">
        <f>J7-J8</f>
        <v>0.11428571428571388</v>
      </c>
      <c r="Q5" s="8"/>
      <c r="R5" s="7">
        <f>J7-J9</f>
        <v>8.5084364454443175</v>
      </c>
    </row>
    <row r="6" spans="2:18" x14ac:dyDescent="0.3">
      <c r="B6" s="34"/>
      <c r="C6" s="3" t="s">
        <v>18</v>
      </c>
      <c r="D6" s="3">
        <f t="shared" si="0"/>
        <v>900</v>
      </c>
      <c r="E6" s="3">
        <f t="shared" si="1"/>
        <v>878</v>
      </c>
      <c r="F6" s="3">
        <v>426</v>
      </c>
      <c r="G6" s="3">
        <v>452</v>
      </c>
      <c r="H6" s="3">
        <v>4</v>
      </c>
      <c r="I6" s="3">
        <v>18</v>
      </c>
      <c r="J6" s="18">
        <f t="shared" si="2"/>
        <v>48.519362186788157</v>
      </c>
      <c r="K6" s="18">
        <f t="shared" si="3"/>
        <v>0.46296296296296291</v>
      </c>
      <c r="L6" s="4"/>
      <c r="M6" s="14" t="s">
        <v>19</v>
      </c>
      <c r="N6" s="7">
        <f>J11-J12</f>
        <v>-0.82574406406026668</v>
      </c>
      <c r="O6" s="8"/>
      <c r="P6" s="7">
        <f>J10-J11</f>
        <v>1.0204081632653015</v>
      </c>
      <c r="Q6" s="8"/>
      <c r="R6" s="7">
        <f>J10-J12</f>
        <v>0.1946640992050348</v>
      </c>
    </row>
    <row r="7" spans="2:18" x14ac:dyDescent="0.3">
      <c r="B7" s="34" t="s">
        <v>17</v>
      </c>
      <c r="C7" s="1" t="s">
        <v>15</v>
      </c>
      <c r="D7" s="1">
        <f t="shared" si="0"/>
        <v>900</v>
      </c>
      <c r="E7" s="1">
        <f t="shared" si="1"/>
        <v>875</v>
      </c>
      <c r="F7" s="1">
        <v>390</v>
      </c>
      <c r="G7" s="1">
        <v>485</v>
      </c>
      <c r="H7" s="1">
        <v>7</v>
      </c>
      <c r="I7" s="1">
        <v>18</v>
      </c>
      <c r="J7" s="19">
        <f t="shared" si="2"/>
        <v>44.571428571428569</v>
      </c>
      <c r="K7" s="19">
        <f t="shared" si="3"/>
        <v>0.81018518518518512</v>
      </c>
      <c r="L7" s="4"/>
      <c r="M7" s="14" t="s">
        <v>20</v>
      </c>
      <c r="N7" s="7">
        <f>J14-J15</f>
        <v>-49.56349206349207</v>
      </c>
      <c r="O7" s="8"/>
      <c r="P7" s="7">
        <f>J13-J14</f>
        <v>-4.6245421245421277</v>
      </c>
      <c r="Q7" s="8"/>
      <c r="R7" s="7">
        <f>J13-J15</f>
        <v>-54.188034188034194</v>
      </c>
    </row>
    <row r="8" spans="2:18" x14ac:dyDescent="0.3">
      <c r="B8" s="34"/>
      <c r="C8" s="1" t="s">
        <v>16</v>
      </c>
      <c r="D8" s="1">
        <f t="shared" si="0"/>
        <v>900</v>
      </c>
      <c r="E8" s="1">
        <f t="shared" si="1"/>
        <v>875</v>
      </c>
      <c r="F8" s="1">
        <v>389</v>
      </c>
      <c r="G8" s="1">
        <v>486</v>
      </c>
      <c r="H8" s="1">
        <v>7</v>
      </c>
      <c r="I8" s="1">
        <v>18</v>
      </c>
      <c r="J8" s="19">
        <f t="shared" si="2"/>
        <v>44.457142857142856</v>
      </c>
      <c r="K8" s="19">
        <f t="shared" si="3"/>
        <v>0.81018518518518512</v>
      </c>
      <c r="L8" s="4"/>
      <c r="M8" s="14" t="s">
        <v>21</v>
      </c>
      <c r="N8" s="9"/>
      <c r="O8" s="7">
        <f>J17-J14</f>
        <v>1.8242251971391887</v>
      </c>
      <c r="P8" s="7">
        <f>J16-J17</f>
        <v>0.78340689679427555</v>
      </c>
      <c r="Q8" s="7">
        <f>J16-J13</f>
        <v>7.2321742184755919</v>
      </c>
      <c r="R8" s="7">
        <f>J16-J15</f>
        <v>-46.955859969558603</v>
      </c>
    </row>
    <row r="9" spans="2:18" x14ac:dyDescent="0.3">
      <c r="B9" s="34"/>
      <c r="C9" s="1" t="s">
        <v>18</v>
      </c>
      <c r="D9" s="1">
        <f t="shared" si="0"/>
        <v>900</v>
      </c>
      <c r="E9" s="1">
        <f t="shared" si="1"/>
        <v>635</v>
      </c>
      <c r="F9" s="1">
        <v>229</v>
      </c>
      <c r="G9" s="1">
        <v>406</v>
      </c>
      <c r="H9" s="1">
        <v>247</v>
      </c>
      <c r="I9" s="1">
        <v>18</v>
      </c>
      <c r="J9" s="19">
        <f t="shared" si="2"/>
        <v>36.062992125984252</v>
      </c>
      <c r="K9" s="19">
        <f t="shared" si="3"/>
        <v>28.587962962962965</v>
      </c>
      <c r="L9" s="4"/>
      <c r="M9" s="14" t="s">
        <v>22</v>
      </c>
      <c r="N9" s="7">
        <f>J20-J21</f>
        <v>1.0310504818178217</v>
      </c>
      <c r="O9" s="8"/>
      <c r="P9" s="7">
        <f>J19-J20</f>
        <v>9.399700918607131</v>
      </c>
      <c r="Q9" s="8"/>
      <c r="R9" s="7">
        <f>J19-J21</f>
        <v>10.430751400424953</v>
      </c>
    </row>
    <row r="10" spans="2:18" x14ac:dyDescent="0.3">
      <c r="B10" s="34" t="s">
        <v>19</v>
      </c>
      <c r="C10" s="3" t="s">
        <v>15</v>
      </c>
      <c r="D10" s="3">
        <f t="shared" si="0"/>
        <v>900</v>
      </c>
      <c r="E10" s="3">
        <f t="shared" si="1"/>
        <v>882</v>
      </c>
      <c r="F10" s="3">
        <v>367</v>
      </c>
      <c r="G10" s="3">
        <v>515</v>
      </c>
      <c r="H10" s="3">
        <v>0</v>
      </c>
      <c r="I10" s="3">
        <v>18</v>
      </c>
      <c r="J10" s="18">
        <f t="shared" si="2"/>
        <v>41.609977324263035</v>
      </c>
      <c r="K10" s="18">
        <f t="shared" si="3"/>
        <v>0</v>
      </c>
      <c r="L10" s="4"/>
      <c r="M10" s="14" t="s">
        <v>23</v>
      </c>
      <c r="N10" s="9"/>
      <c r="O10" s="7">
        <f>J23-J20</f>
        <v>7.0169525492589528</v>
      </c>
      <c r="P10" s="7">
        <f>J22-J23</f>
        <v>-19.748238922929431</v>
      </c>
      <c r="Q10" s="7">
        <f>J22-J20</f>
        <v>-12.731286373670478</v>
      </c>
      <c r="R10" s="7">
        <f>J22-J21</f>
        <v>-11.700235891852657</v>
      </c>
    </row>
    <row r="11" spans="2:18" x14ac:dyDescent="0.3">
      <c r="B11" s="34"/>
      <c r="C11" s="3" t="s">
        <v>16</v>
      </c>
      <c r="D11" s="3">
        <f t="shared" si="0"/>
        <v>900</v>
      </c>
      <c r="E11" s="3">
        <f t="shared" si="1"/>
        <v>882</v>
      </c>
      <c r="F11" s="3">
        <v>358</v>
      </c>
      <c r="G11" s="3">
        <v>524</v>
      </c>
      <c r="H11" s="3">
        <v>0</v>
      </c>
      <c r="I11" s="3">
        <v>18</v>
      </c>
      <c r="J11" s="18">
        <f t="shared" si="2"/>
        <v>40.589569160997733</v>
      </c>
      <c r="K11" s="18">
        <f t="shared" si="3"/>
        <v>0</v>
      </c>
      <c r="L11" s="4"/>
    </row>
    <row r="12" spans="2:18" x14ac:dyDescent="0.3">
      <c r="B12" s="34"/>
      <c r="C12" s="3" t="s">
        <v>18</v>
      </c>
      <c r="D12" s="3">
        <f t="shared" si="0"/>
        <v>900</v>
      </c>
      <c r="E12" s="3">
        <f t="shared" si="1"/>
        <v>862</v>
      </c>
      <c r="F12" s="3">
        <v>357</v>
      </c>
      <c r="G12" s="3">
        <v>505</v>
      </c>
      <c r="H12" s="3">
        <v>20</v>
      </c>
      <c r="I12" s="3">
        <v>18</v>
      </c>
      <c r="J12" s="18">
        <f t="shared" si="2"/>
        <v>41.415313225058</v>
      </c>
      <c r="K12" s="18">
        <f t="shared" si="3"/>
        <v>2.3148148148148149</v>
      </c>
      <c r="L12" s="4"/>
    </row>
    <row r="13" spans="2:18" x14ac:dyDescent="0.3">
      <c r="B13" s="34" t="s">
        <v>20</v>
      </c>
      <c r="C13" s="1" t="s">
        <v>15</v>
      </c>
      <c r="D13" s="1">
        <f t="shared" si="0"/>
        <v>900</v>
      </c>
      <c r="E13" s="1">
        <f t="shared" si="1"/>
        <v>195</v>
      </c>
      <c r="F13" s="1">
        <v>46</v>
      </c>
      <c r="G13" s="1">
        <v>149</v>
      </c>
      <c r="H13" s="1">
        <v>687</v>
      </c>
      <c r="I13" s="1">
        <v>18</v>
      </c>
      <c r="J13" s="19">
        <f t="shared" si="2"/>
        <v>23.589743589743588</v>
      </c>
      <c r="K13" s="19">
        <f t="shared" si="3"/>
        <v>79.513888888888886</v>
      </c>
      <c r="L13" s="4"/>
    </row>
    <row r="14" spans="2:18" x14ac:dyDescent="0.3">
      <c r="B14" s="34"/>
      <c r="C14" s="1" t="s">
        <v>16</v>
      </c>
      <c r="D14" s="1">
        <f t="shared" si="0"/>
        <v>900</v>
      </c>
      <c r="E14" s="1">
        <f t="shared" si="1"/>
        <v>280</v>
      </c>
      <c r="F14" s="1">
        <v>79</v>
      </c>
      <c r="G14" s="1">
        <v>201</v>
      </c>
      <c r="H14" s="1">
        <v>602</v>
      </c>
      <c r="I14" s="1">
        <v>18</v>
      </c>
      <c r="J14" s="19">
        <f t="shared" si="2"/>
        <v>28.214285714285715</v>
      </c>
      <c r="K14" s="19">
        <f t="shared" si="3"/>
        <v>69.675925925925924</v>
      </c>
      <c r="L14" s="4"/>
    </row>
    <row r="15" spans="2:18" x14ac:dyDescent="0.3">
      <c r="B15" s="34"/>
      <c r="C15" s="1" t="s">
        <v>18</v>
      </c>
      <c r="D15" s="1">
        <f t="shared" si="0"/>
        <v>900</v>
      </c>
      <c r="E15" s="1">
        <f t="shared" si="1"/>
        <v>9</v>
      </c>
      <c r="F15" s="1">
        <v>7</v>
      </c>
      <c r="G15" s="1">
        <v>2</v>
      </c>
      <c r="H15" s="1">
        <v>873</v>
      </c>
      <c r="I15" s="1">
        <v>18</v>
      </c>
      <c r="J15" s="19">
        <f t="shared" si="2"/>
        <v>77.777777777777786</v>
      </c>
      <c r="K15" s="19">
        <f t="shared" si="3"/>
        <v>101.04166666666667</v>
      </c>
      <c r="L15" s="4"/>
      <c r="M15" s="37" t="s">
        <v>24</v>
      </c>
      <c r="N15" s="38"/>
      <c r="O15" s="38"/>
      <c r="P15" s="38"/>
      <c r="Q15" s="38"/>
      <c r="R15" s="39"/>
    </row>
    <row r="16" spans="2:18" x14ac:dyDescent="0.3">
      <c r="B16" s="34" t="s">
        <v>21</v>
      </c>
      <c r="C16" s="3" t="s">
        <v>15</v>
      </c>
      <c r="D16" s="3">
        <f t="shared" si="0"/>
        <v>900</v>
      </c>
      <c r="E16" s="3">
        <f t="shared" si="1"/>
        <v>876</v>
      </c>
      <c r="F16" s="3">
        <v>270</v>
      </c>
      <c r="G16" s="3">
        <v>606</v>
      </c>
      <c r="H16" s="3">
        <v>6</v>
      </c>
      <c r="I16" s="3">
        <v>18</v>
      </c>
      <c r="J16" s="18">
        <f t="shared" si="2"/>
        <v>30.82191780821918</v>
      </c>
      <c r="K16" s="18">
        <f t="shared" si="3"/>
        <v>0.69444444444444442</v>
      </c>
      <c r="L16" s="4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34"/>
      <c r="C17" s="3" t="s">
        <v>16</v>
      </c>
      <c r="D17" s="3">
        <f t="shared" si="0"/>
        <v>900</v>
      </c>
      <c r="E17" s="3">
        <f t="shared" si="1"/>
        <v>779</v>
      </c>
      <c r="F17" s="3">
        <v>234</v>
      </c>
      <c r="G17" s="3">
        <v>545</v>
      </c>
      <c r="H17" s="3">
        <v>103</v>
      </c>
      <c r="I17" s="3">
        <v>18</v>
      </c>
      <c r="J17" s="18">
        <f t="shared" si="2"/>
        <v>30.038510911424904</v>
      </c>
      <c r="K17" s="18">
        <f t="shared" si="3"/>
        <v>11.921296296296296</v>
      </c>
      <c r="L17" s="4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34"/>
      <c r="C18" s="24" t="s">
        <v>18</v>
      </c>
      <c r="D18" s="24"/>
      <c r="E18" s="24"/>
      <c r="F18" s="24"/>
      <c r="G18" s="24"/>
      <c r="H18" s="24"/>
      <c r="I18" s="24"/>
      <c r="J18" s="25"/>
      <c r="K18" s="25"/>
      <c r="L18" s="4"/>
      <c r="M18" s="1" t="s">
        <v>14</v>
      </c>
      <c r="N18" s="11">
        <v>47.544642857142854</v>
      </c>
      <c r="O18" s="1" t="s">
        <v>14</v>
      </c>
      <c r="P18" s="11">
        <v>48.222222222222221</v>
      </c>
      <c r="Q18" s="1" t="s">
        <v>14</v>
      </c>
      <c r="R18" s="11">
        <v>49.444444444444443</v>
      </c>
    </row>
    <row r="19" spans="2:18" x14ac:dyDescent="0.3">
      <c r="B19" s="34" t="s">
        <v>22</v>
      </c>
      <c r="C19" s="1" t="s">
        <v>15</v>
      </c>
      <c r="D19" s="1">
        <f t="shared" si="0"/>
        <v>900</v>
      </c>
      <c r="E19" s="1">
        <f t="shared" si="1"/>
        <v>558</v>
      </c>
      <c r="F19" s="1">
        <v>252</v>
      </c>
      <c r="G19" s="1">
        <v>306</v>
      </c>
      <c r="H19" s="1">
        <v>324</v>
      </c>
      <c r="I19" s="1">
        <v>18</v>
      </c>
      <c r="J19" s="19">
        <f t="shared" si="2"/>
        <v>45.161290322580641</v>
      </c>
      <c r="K19" s="19">
        <f t="shared" si="3"/>
        <v>37.5</v>
      </c>
      <c r="L19" s="4"/>
      <c r="M19" s="1" t="s">
        <v>19</v>
      </c>
      <c r="N19" s="11">
        <v>40.56818181818182</v>
      </c>
      <c r="O19" s="1" t="s">
        <v>17</v>
      </c>
      <c r="P19" s="11">
        <v>43.56103023516237</v>
      </c>
      <c r="Q19" s="1" t="s">
        <v>22</v>
      </c>
      <c r="R19" s="11">
        <v>43.75</v>
      </c>
    </row>
    <row r="20" spans="2:18" x14ac:dyDescent="0.3">
      <c r="B20" s="34"/>
      <c r="C20" s="1" t="s">
        <v>16</v>
      </c>
      <c r="D20" s="1">
        <f t="shared" si="0"/>
        <v>900</v>
      </c>
      <c r="E20" s="1">
        <f t="shared" si="1"/>
        <v>302</v>
      </c>
      <c r="F20" s="1">
        <v>108</v>
      </c>
      <c r="G20" s="1">
        <v>194</v>
      </c>
      <c r="H20" s="1">
        <v>580</v>
      </c>
      <c r="I20" s="1">
        <v>18</v>
      </c>
      <c r="J20" s="19">
        <f t="shared" si="2"/>
        <v>35.76158940397351</v>
      </c>
      <c r="K20" s="19">
        <f t="shared" si="3"/>
        <v>67.129629629629633</v>
      </c>
      <c r="L20" s="4"/>
      <c r="M20" s="1" t="s">
        <v>17</v>
      </c>
      <c r="N20" s="11">
        <v>35.068912710566615</v>
      </c>
      <c r="O20" s="1" t="s">
        <v>23</v>
      </c>
      <c r="P20" s="11">
        <v>41.744966442953022</v>
      </c>
      <c r="Q20" s="1" t="s">
        <v>17</v>
      </c>
      <c r="R20" s="11">
        <v>43.673012318029116</v>
      </c>
    </row>
    <row r="21" spans="2:18" x14ac:dyDescent="0.3">
      <c r="B21" s="34"/>
      <c r="C21" s="1" t="s">
        <v>18</v>
      </c>
      <c r="D21" s="1">
        <f t="shared" si="0"/>
        <v>900</v>
      </c>
      <c r="E21" s="1">
        <f t="shared" si="1"/>
        <v>167</v>
      </c>
      <c r="F21" s="1">
        <v>58</v>
      </c>
      <c r="G21" s="1">
        <v>109</v>
      </c>
      <c r="H21" s="1">
        <v>715</v>
      </c>
      <c r="I21" s="1">
        <v>18</v>
      </c>
      <c r="J21" s="19">
        <f t="shared" si="2"/>
        <v>34.730538922155688</v>
      </c>
      <c r="K21" s="19">
        <f t="shared" si="3"/>
        <v>82.754629629629633</v>
      </c>
      <c r="L21" s="4"/>
      <c r="M21" s="1" t="s">
        <v>22</v>
      </c>
      <c r="N21" s="11">
        <v>31.351351351351354</v>
      </c>
      <c r="O21" s="1" t="s">
        <v>19</v>
      </c>
      <c r="P21" s="11">
        <v>39.777777777777779</v>
      </c>
      <c r="Q21" s="1" t="s">
        <v>19</v>
      </c>
      <c r="R21" s="11">
        <v>40.777777777777779</v>
      </c>
    </row>
    <row r="22" spans="2:18" x14ac:dyDescent="0.3">
      <c r="B22" s="34" t="s">
        <v>23</v>
      </c>
      <c r="C22" s="3" t="s">
        <v>15</v>
      </c>
      <c r="D22" s="3">
        <f t="shared" si="0"/>
        <v>900</v>
      </c>
      <c r="E22" s="3">
        <f t="shared" si="1"/>
        <v>165</v>
      </c>
      <c r="F22" s="3">
        <v>38</v>
      </c>
      <c r="G22" s="3">
        <v>127</v>
      </c>
      <c r="H22" s="3">
        <v>717</v>
      </c>
      <c r="I22" s="3">
        <v>18</v>
      </c>
      <c r="J22" s="18">
        <f t="shared" si="2"/>
        <v>23.030303030303031</v>
      </c>
      <c r="K22" s="18">
        <f t="shared" si="3"/>
        <v>82.986111111111114</v>
      </c>
      <c r="L22" s="4"/>
      <c r="M22" s="1" t="s">
        <v>20</v>
      </c>
      <c r="N22" s="11">
        <v>25.925925925925924</v>
      </c>
      <c r="O22" s="1" t="s">
        <v>22</v>
      </c>
      <c r="P22" s="11">
        <v>33.75</v>
      </c>
      <c r="Q22" s="1" t="s">
        <v>21</v>
      </c>
      <c r="R22" s="11">
        <v>30.201342281879196</v>
      </c>
    </row>
    <row r="23" spans="2:18" x14ac:dyDescent="0.3">
      <c r="B23" s="34"/>
      <c r="C23" s="3" t="s">
        <v>16</v>
      </c>
      <c r="D23" s="3">
        <f t="shared" si="0"/>
        <v>900</v>
      </c>
      <c r="E23" s="3">
        <f t="shared" si="1"/>
        <v>727</v>
      </c>
      <c r="F23" s="3">
        <v>311</v>
      </c>
      <c r="G23" s="3">
        <v>416</v>
      </c>
      <c r="H23" s="3">
        <v>155</v>
      </c>
      <c r="I23" s="3">
        <v>18</v>
      </c>
      <c r="J23" s="18">
        <f t="shared" si="2"/>
        <v>42.778541953232462</v>
      </c>
      <c r="K23" s="18">
        <f t="shared" si="3"/>
        <v>17.939814814814813</v>
      </c>
      <c r="L23" s="4"/>
      <c r="O23" s="1" t="s">
        <v>21</v>
      </c>
      <c r="P23" s="11">
        <v>29.360100376411541</v>
      </c>
      <c r="Q23" s="1" t="s">
        <v>20</v>
      </c>
      <c r="R23" s="11">
        <v>21.5962441314554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4"/>
      <c r="J24" s="25"/>
      <c r="K24" s="25"/>
      <c r="L24" s="4"/>
      <c r="O24" s="1" t="s">
        <v>20</v>
      </c>
      <c r="P24" s="11">
        <v>26.51006711409396</v>
      </c>
      <c r="Q24" s="1" t="s">
        <v>23</v>
      </c>
      <c r="R24" s="11">
        <v>20.765027322404372</v>
      </c>
    </row>
    <row r="25" spans="2:18" x14ac:dyDescent="0.3">
      <c r="L25" s="4"/>
    </row>
    <row r="26" spans="2:18" x14ac:dyDescent="0.3">
      <c r="L26" s="4"/>
    </row>
    <row r="27" spans="2:18" x14ac:dyDescent="0.3">
      <c r="B27" s="30" t="s">
        <v>27</v>
      </c>
      <c r="C27" s="30"/>
      <c r="D27" s="30"/>
      <c r="E27" s="30"/>
      <c r="G27" t="s">
        <v>36</v>
      </c>
      <c r="H27" s="58" t="s">
        <v>55</v>
      </c>
      <c r="I27" s="12" t="s">
        <v>15</v>
      </c>
      <c r="J27" s="7">
        <f>(J4+J7+J10+J13+J19)/5</f>
        <v>41.077190909448973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  <c r="H28" s="58"/>
      <c r="I28" s="12" t="s">
        <v>16</v>
      </c>
      <c r="J28" s="7">
        <f>(J5+J8+J11+J14+J20)/5</f>
        <v>39.645787268549803</v>
      </c>
    </row>
    <row r="29" spans="2:18" x14ac:dyDescent="0.3">
      <c r="B29" s="15" t="s">
        <v>31</v>
      </c>
      <c r="C29" s="12">
        <v>900</v>
      </c>
      <c r="D29" s="12">
        <v>18</v>
      </c>
      <c r="E29" s="12">
        <f>C29-D29</f>
        <v>882</v>
      </c>
      <c r="H29" s="58"/>
      <c r="I29" s="12" t="s">
        <v>18</v>
      </c>
      <c r="J29" s="7">
        <f>(J6+J9+J12+J15+J21)/5</f>
        <v>47.701196847552772</v>
      </c>
    </row>
    <row r="30" spans="2:18" x14ac:dyDescent="0.3">
      <c r="B30" s="15" t="s">
        <v>32</v>
      </c>
      <c r="C30" s="12">
        <v>125</v>
      </c>
      <c r="D30" s="12"/>
      <c r="E30" s="12"/>
    </row>
    <row r="31" spans="2:18" x14ac:dyDescent="0.3">
      <c r="B31" s="15" t="s">
        <v>33</v>
      </c>
      <c r="C31" s="12">
        <f>SUM(C29:C30)</f>
        <v>1025</v>
      </c>
      <c r="D31" s="12"/>
      <c r="E31" s="12">
        <f t="shared" ref="E31" si="4">SUM(E29:E30)</f>
        <v>882</v>
      </c>
    </row>
  </sheetData>
  <mergeCells count="16">
    <mergeCell ref="B19:B21"/>
    <mergeCell ref="B27:E27"/>
    <mergeCell ref="B13:B15"/>
    <mergeCell ref="M15:R15"/>
    <mergeCell ref="M16:N16"/>
    <mergeCell ref="O16:P16"/>
    <mergeCell ref="Q16:R16"/>
    <mergeCell ref="B16:B18"/>
    <mergeCell ref="B22:B24"/>
    <mergeCell ref="H27:H29"/>
    <mergeCell ref="B10:B12"/>
    <mergeCell ref="M2:R2"/>
    <mergeCell ref="B3:C3"/>
    <mergeCell ref="B4:B6"/>
    <mergeCell ref="B7:B9"/>
    <mergeCell ref="B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8A8-3FBA-4BC8-83C1-A9037C6A82D5}">
  <sheetPr>
    <tabColor theme="8" tint="0.59999389629810485"/>
  </sheetPr>
  <dimension ref="B2:R31"/>
  <sheetViews>
    <sheetView zoomScale="75" zoomScaleNormal="75" workbookViewId="0">
      <selection activeCell="D24" sqref="D24:K24"/>
    </sheetView>
  </sheetViews>
  <sheetFormatPr baseColWidth="10" defaultColWidth="8.88671875" defaultRowHeight="14.4" x14ac:dyDescent="0.3"/>
  <cols>
    <col min="2" max="2" width="14" bestFit="1" customWidth="1"/>
    <col min="3" max="4" width="14" customWidth="1"/>
    <col min="5" max="12" width="11.6640625" customWidth="1"/>
    <col min="13" max="18" width="14.5546875" customWidth="1"/>
  </cols>
  <sheetData>
    <row r="2" spans="2:18" x14ac:dyDescent="0.3">
      <c r="B2" s="55" t="s">
        <v>43</v>
      </c>
      <c r="C2" s="55"/>
      <c r="D2" s="55"/>
      <c r="E2" s="55"/>
      <c r="F2" s="55"/>
      <c r="G2" s="55"/>
      <c r="H2" s="55"/>
      <c r="I2" s="55"/>
      <c r="J2" s="55"/>
      <c r="K2" s="55"/>
      <c r="M2" s="33" t="s">
        <v>1</v>
      </c>
      <c r="N2" s="33"/>
      <c r="O2" s="33"/>
      <c r="P2" s="33"/>
      <c r="Q2" s="33"/>
      <c r="R2" s="33"/>
    </row>
    <row r="3" spans="2:18" ht="43.2" x14ac:dyDescent="0.3">
      <c r="B3" s="56" t="s">
        <v>2</v>
      </c>
      <c r="C3" s="56"/>
      <c r="D3" s="57" t="s">
        <v>51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49</v>
      </c>
      <c r="J3" s="6" t="s">
        <v>7</v>
      </c>
      <c r="K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E4+H4+I4</f>
        <v>967</v>
      </c>
      <c r="E4" s="3">
        <f>F4+G4</f>
        <v>942</v>
      </c>
      <c r="F4" s="3">
        <v>452</v>
      </c>
      <c r="G4" s="3">
        <v>490</v>
      </c>
      <c r="H4" s="3">
        <v>5</v>
      </c>
      <c r="I4" s="3">
        <v>20</v>
      </c>
      <c r="J4" s="18">
        <f>(F4/E4)*100</f>
        <v>47.983014861995755</v>
      </c>
      <c r="K4" s="18">
        <f>(H4/947)*100</f>
        <v>0.52798310454065467</v>
      </c>
      <c r="L4" s="29"/>
      <c r="M4" s="14" t="s">
        <v>14</v>
      </c>
      <c r="N4" s="7">
        <f>J5-J6</f>
        <v>1.8801658801658832</v>
      </c>
      <c r="O4" s="8"/>
      <c r="P4" s="7">
        <f>J4-J5</f>
        <v>-5.9313180332289051E-2</v>
      </c>
      <c r="Q4" s="8"/>
      <c r="R4" s="7">
        <f>J4-J6</f>
        <v>1.8208526998335941</v>
      </c>
    </row>
    <row r="5" spans="2:18" x14ac:dyDescent="0.3">
      <c r="B5" s="34"/>
      <c r="C5" s="3" t="s">
        <v>16</v>
      </c>
      <c r="D5" s="3">
        <f t="shared" ref="D5:D24" si="0">E5+H5+I5</f>
        <v>967</v>
      </c>
      <c r="E5" s="3">
        <f t="shared" ref="E5:E24" si="1">F5+G5</f>
        <v>945</v>
      </c>
      <c r="F5" s="3">
        <v>454</v>
      </c>
      <c r="G5" s="3">
        <v>491</v>
      </c>
      <c r="H5" s="3">
        <v>2</v>
      </c>
      <c r="I5" s="3">
        <v>20</v>
      </c>
      <c r="J5" s="18">
        <f t="shared" ref="J5:J23" si="2">(F5/E5)*100</f>
        <v>48.042328042328045</v>
      </c>
      <c r="K5" s="18">
        <f t="shared" ref="K5:K24" si="3">(H5/947)*100</f>
        <v>0.21119324181626187</v>
      </c>
      <c r="L5" s="29"/>
      <c r="M5" s="14" t="s">
        <v>17</v>
      </c>
      <c r="N5" s="7">
        <f>J8-J9</f>
        <v>4.7964453896399775</v>
      </c>
      <c r="O5" s="8"/>
      <c r="P5" s="7">
        <f>J7-J8</f>
        <v>0.95011005135730642</v>
      </c>
      <c r="Q5" s="8"/>
      <c r="R5" s="7">
        <f>J7-J9</f>
        <v>5.7465554409972839</v>
      </c>
    </row>
    <row r="6" spans="2:18" x14ac:dyDescent="0.3">
      <c r="B6" s="34"/>
      <c r="C6" s="3" t="s">
        <v>18</v>
      </c>
      <c r="D6" s="3">
        <f t="shared" si="0"/>
        <v>967</v>
      </c>
      <c r="E6" s="3">
        <f t="shared" si="1"/>
        <v>925</v>
      </c>
      <c r="F6" s="3">
        <v>427</v>
      </c>
      <c r="G6" s="3">
        <v>498</v>
      </c>
      <c r="H6" s="3">
        <v>22</v>
      </c>
      <c r="I6" s="3">
        <v>20</v>
      </c>
      <c r="J6" s="18">
        <f t="shared" si="2"/>
        <v>46.162162162162161</v>
      </c>
      <c r="K6" s="18">
        <f t="shared" si="3"/>
        <v>2.3231256599788805</v>
      </c>
      <c r="L6" s="29"/>
      <c r="M6" s="14" t="s">
        <v>19</v>
      </c>
      <c r="N6" s="7">
        <f>J11-J12</f>
        <v>-0.15729327170004836</v>
      </c>
      <c r="O6" s="8"/>
      <c r="P6" s="7">
        <f>J10-J11</f>
        <v>1.3500721240533764</v>
      </c>
      <c r="Q6" s="8"/>
      <c r="R6" s="7">
        <f>J10-J12</f>
        <v>1.192778852353328</v>
      </c>
    </row>
    <row r="7" spans="2:18" x14ac:dyDescent="0.3">
      <c r="B7" s="34" t="s">
        <v>17</v>
      </c>
      <c r="C7" s="1" t="s">
        <v>15</v>
      </c>
      <c r="D7" s="1">
        <f t="shared" si="0"/>
        <v>967</v>
      </c>
      <c r="E7" s="1">
        <f t="shared" si="1"/>
        <v>940</v>
      </c>
      <c r="F7" s="1">
        <v>406</v>
      </c>
      <c r="G7" s="1">
        <v>534</v>
      </c>
      <c r="H7" s="1">
        <v>7</v>
      </c>
      <c r="I7" s="1">
        <v>20</v>
      </c>
      <c r="J7" s="19">
        <f t="shared" si="2"/>
        <v>43.191489361702132</v>
      </c>
      <c r="K7" s="19">
        <f t="shared" si="3"/>
        <v>0.73917634635691654</v>
      </c>
      <c r="L7" s="29"/>
      <c r="M7" s="14" t="s">
        <v>20</v>
      </c>
      <c r="N7" s="7">
        <f>J14-J15</f>
        <v>-11.823852909792333</v>
      </c>
      <c r="O7" s="8"/>
      <c r="P7" s="7">
        <f>J13-J14</f>
        <v>-1.9681154904709963</v>
      </c>
      <c r="Q7" s="8"/>
      <c r="R7" s="7">
        <f>J13-J15</f>
        <v>-13.791968400263329</v>
      </c>
    </row>
    <row r="8" spans="2:18" x14ac:dyDescent="0.3">
      <c r="B8" s="34"/>
      <c r="C8" s="1" t="s">
        <v>16</v>
      </c>
      <c r="D8" s="1">
        <f t="shared" si="0"/>
        <v>967</v>
      </c>
      <c r="E8" s="1">
        <f t="shared" si="1"/>
        <v>928</v>
      </c>
      <c r="F8" s="1">
        <v>392</v>
      </c>
      <c r="G8" s="1">
        <v>536</v>
      </c>
      <c r="H8" s="1">
        <v>19</v>
      </c>
      <c r="I8" s="1">
        <v>20</v>
      </c>
      <c r="J8" s="19">
        <f t="shared" si="2"/>
        <v>42.241379310344826</v>
      </c>
      <c r="K8" s="19">
        <f t="shared" si="3"/>
        <v>2.0063357972544877</v>
      </c>
      <c r="L8" s="29"/>
      <c r="M8" s="14" t="s">
        <v>21</v>
      </c>
      <c r="N8" s="9"/>
      <c r="O8" s="7">
        <f>J17-J14</f>
        <v>4.213728609217771</v>
      </c>
      <c r="P8" s="7">
        <f>J16-J17</f>
        <v>1.3735651607896173</v>
      </c>
      <c r="Q8" s="7">
        <f>J16-J13</f>
        <v>7.5554092604783847</v>
      </c>
      <c r="R8" s="7">
        <f>J16-J15</f>
        <v>-6.2365591397849443</v>
      </c>
    </row>
    <row r="9" spans="2:18" x14ac:dyDescent="0.3">
      <c r="B9" s="34"/>
      <c r="C9" s="1" t="s">
        <v>18</v>
      </c>
      <c r="D9" s="1">
        <f t="shared" si="0"/>
        <v>967</v>
      </c>
      <c r="E9" s="1">
        <f t="shared" si="1"/>
        <v>681</v>
      </c>
      <c r="F9" s="1">
        <v>255</v>
      </c>
      <c r="G9" s="1">
        <v>426</v>
      </c>
      <c r="H9" s="1">
        <v>266</v>
      </c>
      <c r="I9" s="1">
        <v>20</v>
      </c>
      <c r="J9" s="19">
        <f t="shared" si="2"/>
        <v>37.444933920704848</v>
      </c>
      <c r="K9" s="19">
        <f t="shared" si="3"/>
        <v>28.088701161562827</v>
      </c>
      <c r="L9" s="29"/>
      <c r="M9" s="14" t="s">
        <v>22</v>
      </c>
      <c r="N9" s="7">
        <f>J20-J21</f>
        <v>5.2283813747228294</v>
      </c>
      <c r="O9" s="8"/>
      <c r="P9" s="7">
        <f>J19-J20</f>
        <v>-1.4207909069381941</v>
      </c>
      <c r="Q9" s="8"/>
      <c r="R9" s="7">
        <f>J19-J21</f>
        <v>3.8075904677846353</v>
      </c>
    </row>
    <row r="10" spans="2:18" x14ac:dyDescent="0.3">
      <c r="B10" s="34" t="s">
        <v>19</v>
      </c>
      <c r="C10" s="3" t="s">
        <v>15</v>
      </c>
      <c r="D10" s="3">
        <f t="shared" si="0"/>
        <v>967</v>
      </c>
      <c r="E10" s="3">
        <f t="shared" si="1"/>
        <v>940</v>
      </c>
      <c r="F10" s="3">
        <v>410</v>
      </c>
      <c r="G10" s="3">
        <v>530</v>
      </c>
      <c r="H10" s="3">
        <v>7</v>
      </c>
      <c r="I10" s="3">
        <v>20</v>
      </c>
      <c r="J10" s="18">
        <f t="shared" si="2"/>
        <v>43.61702127659575</v>
      </c>
      <c r="K10" s="18">
        <f t="shared" si="3"/>
        <v>0.73917634635691654</v>
      </c>
      <c r="L10" s="29"/>
      <c r="M10" s="14" t="s">
        <v>23</v>
      </c>
      <c r="N10" s="9"/>
      <c r="O10" s="7">
        <f>J23-J20</f>
        <v>-3.7940379403793969</v>
      </c>
      <c r="P10" s="7">
        <f>J22-J23</f>
        <v>-9.9580712788260008</v>
      </c>
      <c r="Q10" s="7">
        <f>J22-J20</f>
        <v>-13.752109219205398</v>
      </c>
      <c r="R10" s="7">
        <f>J22-J21</f>
        <v>-8.5237278444825684</v>
      </c>
    </row>
    <row r="11" spans="2:18" x14ac:dyDescent="0.3">
      <c r="B11" s="34"/>
      <c r="C11" s="3" t="s">
        <v>16</v>
      </c>
      <c r="D11" s="3">
        <f t="shared" si="0"/>
        <v>967</v>
      </c>
      <c r="E11" s="3">
        <f t="shared" si="1"/>
        <v>944</v>
      </c>
      <c r="F11" s="3">
        <v>399</v>
      </c>
      <c r="G11" s="3">
        <v>545</v>
      </c>
      <c r="H11" s="3">
        <v>3</v>
      </c>
      <c r="I11" s="3">
        <v>20</v>
      </c>
      <c r="J11" s="18">
        <f t="shared" si="2"/>
        <v>42.266949152542374</v>
      </c>
      <c r="K11" s="18">
        <f t="shared" si="3"/>
        <v>0.31678986272439286</v>
      </c>
      <c r="L11" s="29"/>
    </row>
    <row r="12" spans="2:18" x14ac:dyDescent="0.3">
      <c r="B12" s="34"/>
      <c r="C12" s="3" t="s">
        <v>18</v>
      </c>
      <c r="D12" s="3">
        <f t="shared" si="0"/>
        <v>967</v>
      </c>
      <c r="E12" s="3">
        <f t="shared" si="1"/>
        <v>891</v>
      </c>
      <c r="F12" s="3">
        <v>378</v>
      </c>
      <c r="G12" s="3">
        <v>513</v>
      </c>
      <c r="H12" s="3">
        <v>56</v>
      </c>
      <c r="I12" s="3">
        <v>20</v>
      </c>
      <c r="J12" s="18">
        <f t="shared" si="2"/>
        <v>42.424242424242422</v>
      </c>
      <c r="K12" s="18">
        <f t="shared" si="3"/>
        <v>5.9134107708553323</v>
      </c>
      <c r="L12" s="29"/>
    </row>
    <row r="13" spans="2:18" ht="14.4" customHeight="1" x14ac:dyDescent="0.3">
      <c r="B13" s="34" t="s">
        <v>20</v>
      </c>
      <c r="C13" s="1" t="s">
        <v>15</v>
      </c>
      <c r="D13" s="1">
        <f t="shared" si="0"/>
        <v>967</v>
      </c>
      <c r="E13" s="1">
        <f t="shared" si="1"/>
        <v>294</v>
      </c>
      <c r="F13" s="1">
        <v>78</v>
      </c>
      <c r="G13" s="1">
        <v>216</v>
      </c>
      <c r="H13" s="1">
        <v>653</v>
      </c>
      <c r="I13" s="1">
        <v>20</v>
      </c>
      <c r="J13" s="19">
        <f t="shared" si="2"/>
        <v>26.530612244897959</v>
      </c>
      <c r="K13" s="19">
        <f t="shared" si="3"/>
        <v>68.954593453009508</v>
      </c>
      <c r="L13" s="29"/>
    </row>
    <row r="14" spans="2:18" x14ac:dyDescent="0.3">
      <c r="B14" s="34"/>
      <c r="C14" s="1" t="s">
        <v>16</v>
      </c>
      <c r="D14" s="1">
        <f t="shared" si="0"/>
        <v>967</v>
      </c>
      <c r="E14" s="1">
        <f t="shared" si="1"/>
        <v>393</v>
      </c>
      <c r="F14" s="1">
        <v>112</v>
      </c>
      <c r="G14" s="1">
        <v>281</v>
      </c>
      <c r="H14" s="1">
        <v>554</v>
      </c>
      <c r="I14" s="1">
        <v>20</v>
      </c>
      <c r="J14" s="19">
        <f t="shared" si="2"/>
        <v>28.498727735368956</v>
      </c>
      <c r="K14" s="19">
        <f t="shared" si="3"/>
        <v>58.500527983104547</v>
      </c>
      <c r="L14" s="29"/>
    </row>
    <row r="15" spans="2:18" x14ac:dyDescent="0.3">
      <c r="B15" s="34"/>
      <c r="C15" s="1" t="s">
        <v>18</v>
      </c>
      <c r="D15" s="1">
        <f t="shared" si="0"/>
        <v>967</v>
      </c>
      <c r="E15" s="1">
        <f t="shared" si="1"/>
        <v>62</v>
      </c>
      <c r="F15" s="1">
        <v>25</v>
      </c>
      <c r="G15" s="1">
        <v>37</v>
      </c>
      <c r="H15" s="1">
        <v>885</v>
      </c>
      <c r="I15" s="1">
        <v>20</v>
      </c>
      <c r="J15" s="19">
        <f t="shared" si="2"/>
        <v>40.322580645161288</v>
      </c>
      <c r="K15" s="19">
        <f t="shared" si="3"/>
        <v>93.453009503695881</v>
      </c>
      <c r="L15" s="29"/>
      <c r="M15" s="37" t="s">
        <v>24</v>
      </c>
      <c r="N15" s="38"/>
      <c r="O15" s="38"/>
      <c r="P15" s="38"/>
      <c r="Q15" s="38"/>
      <c r="R15" s="39"/>
    </row>
    <row r="16" spans="2:18" x14ac:dyDescent="0.3">
      <c r="B16" s="34" t="s">
        <v>21</v>
      </c>
      <c r="C16" s="3" t="s">
        <v>15</v>
      </c>
      <c r="D16" s="3">
        <f t="shared" si="0"/>
        <v>967</v>
      </c>
      <c r="E16" s="3">
        <f t="shared" si="1"/>
        <v>930</v>
      </c>
      <c r="F16" s="3">
        <v>317</v>
      </c>
      <c r="G16" s="3">
        <v>613</v>
      </c>
      <c r="H16" s="3">
        <v>17</v>
      </c>
      <c r="I16" s="3">
        <v>20</v>
      </c>
      <c r="J16" s="18">
        <f t="shared" si="2"/>
        <v>34.086021505376344</v>
      </c>
      <c r="K16" s="18">
        <f t="shared" si="3"/>
        <v>1.7951425554382259</v>
      </c>
      <c r="L16" s="29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34"/>
      <c r="C17" s="3" t="s">
        <v>16</v>
      </c>
      <c r="D17" s="3">
        <f t="shared" si="0"/>
        <v>967</v>
      </c>
      <c r="E17" s="3">
        <f t="shared" si="1"/>
        <v>859</v>
      </c>
      <c r="F17" s="3">
        <v>281</v>
      </c>
      <c r="G17" s="3">
        <v>578</v>
      </c>
      <c r="H17" s="3">
        <v>88</v>
      </c>
      <c r="I17" s="3">
        <v>20</v>
      </c>
      <c r="J17" s="18">
        <f t="shared" si="2"/>
        <v>32.712456344586727</v>
      </c>
      <c r="K17" s="18">
        <f t="shared" si="3"/>
        <v>9.2925026399155222</v>
      </c>
      <c r="L17" s="29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34"/>
      <c r="C18" s="24" t="s">
        <v>18</v>
      </c>
      <c r="D18" s="24"/>
      <c r="E18" s="24"/>
      <c r="F18" s="24"/>
      <c r="G18" s="24"/>
      <c r="H18" s="24"/>
      <c r="I18" s="24"/>
      <c r="J18" s="25"/>
      <c r="K18" s="25"/>
      <c r="L18" s="29"/>
      <c r="M18" s="1" t="s">
        <v>14</v>
      </c>
      <c r="N18" s="11">
        <v>45.185185185185183</v>
      </c>
      <c r="O18" s="1" t="s">
        <v>14</v>
      </c>
      <c r="P18" s="11">
        <v>47.046632124352335</v>
      </c>
      <c r="Q18" s="1" t="s">
        <v>14</v>
      </c>
      <c r="R18" s="11">
        <v>46.985446985446991</v>
      </c>
    </row>
    <row r="19" spans="2:18" x14ac:dyDescent="0.3">
      <c r="B19" s="34" t="s">
        <v>22</v>
      </c>
      <c r="C19" s="1" t="s">
        <v>15</v>
      </c>
      <c r="D19" s="1">
        <f t="shared" si="0"/>
        <v>967</v>
      </c>
      <c r="E19" s="1">
        <f t="shared" si="1"/>
        <v>412</v>
      </c>
      <c r="F19" s="1">
        <v>170</v>
      </c>
      <c r="G19" s="1">
        <v>242</v>
      </c>
      <c r="H19" s="1">
        <v>535</v>
      </c>
      <c r="I19" s="1">
        <v>20</v>
      </c>
      <c r="J19" s="19">
        <f t="shared" si="2"/>
        <v>41.262135922330096</v>
      </c>
      <c r="K19" s="19">
        <f t="shared" si="3"/>
        <v>56.494192185850054</v>
      </c>
      <c r="L19" s="29"/>
      <c r="M19" s="1" t="s">
        <v>19</v>
      </c>
      <c r="N19" s="11">
        <v>41.492864983534581</v>
      </c>
      <c r="O19" s="1" t="s">
        <v>22</v>
      </c>
      <c r="P19" s="11">
        <v>41.666666666666671</v>
      </c>
      <c r="Q19" s="1" t="s">
        <v>19</v>
      </c>
      <c r="R19" s="11">
        <v>42.708333333333329</v>
      </c>
    </row>
    <row r="20" spans="2:18" x14ac:dyDescent="0.3">
      <c r="B20" s="34"/>
      <c r="C20" s="1" t="s">
        <v>16</v>
      </c>
      <c r="D20" s="1">
        <f t="shared" si="0"/>
        <v>967</v>
      </c>
      <c r="E20" s="1">
        <f t="shared" si="1"/>
        <v>820</v>
      </c>
      <c r="F20" s="1">
        <v>350</v>
      </c>
      <c r="G20" s="1">
        <v>470</v>
      </c>
      <c r="H20" s="1">
        <v>127</v>
      </c>
      <c r="I20" s="1">
        <v>20</v>
      </c>
      <c r="J20" s="19">
        <f t="shared" si="2"/>
        <v>42.68292682926829</v>
      </c>
      <c r="K20" s="19">
        <f t="shared" si="3"/>
        <v>13.410770855332629</v>
      </c>
      <c r="L20" s="29"/>
      <c r="M20" s="1" t="s">
        <v>17</v>
      </c>
      <c r="N20" s="11">
        <v>36.37660485021398</v>
      </c>
      <c r="O20" s="1" t="s">
        <v>19</v>
      </c>
      <c r="P20" s="11">
        <v>41.390041493775932</v>
      </c>
      <c r="Q20" s="1" t="s">
        <v>17</v>
      </c>
      <c r="R20" s="11">
        <v>42.291666666666664</v>
      </c>
    </row>
    <row r="21" spans="2:18" x14ac:dyDescent="0.3">
      <c r="B21" s="34"/>
      <c r="C21" s="1" t="s">
        <v>18</v>
      </c>
      <c r="D21" s="1">
        <f t="shared" si="0"/>
        <v>967</v>
      </c>
      <c r="E21" s="1">
        <f t="shared" si="1"/>
        <v>275</v>
      </c>
      <c r="F21" s="1">
        <v>103</v>
      </c>
      <c r="G21" s="1">
        <v>172</v>
      </c>
      <c r="H21" s="1">
        <v>672</v>
      </c>
      <c r="I21" s="1">
        <v>20</v>
      </c>
      <c r="J21" s="19">
        <f t="shared" si="2"/>
        <v>37.45454545454546</v>
      </c>
      <c r="K21" s="19">
        <f t="shared" si="3"/>
        <v>70.960929250263987</v>
      </c>
      <c r="L21" s="29"/>
      <c r="M21" s="1" t="s">
        <v>22</v>
      </c>
      <c r="N21" s="11">
        <v>34.915254237288131</v>
      </c>
      <c r="O21" s="1" t="s">
        <v>17</v>
      </c>
      <c r="P21" s="11">
        <v>41.350210970464133</v>
      </c>
      <c r="Q21" s="1" t="s">
        <v>22</v>
      </c>
      <c r="R21" s="11">
        <v>39.351851851851855</v>
      </c>
    </row>
    <row r="22" spans="2:18" x14ac:dyDescent="0.3">
      <c r="B22" s="34" t="s">
        <v>23</v>
      </c>
      <c r="C22" s="3" t="s">
        <v>15</v>
      </c>
      <c r="D22" s="3">
        <f t="shared" si="0"/>
        <v>967</v>
      </c>
      <c r="E22" s="3">
        <f t="shared" si="1"/>
        <v>159</v>
      </c>
      <c r="F22" s="3">
        <v>46</v>
      </c>
      <c r="G22" s="3">
        <v>113</v>
      </c>
      <c r="H22" s="3">
        <v>788</v>
      </c>
      <c r="I22" s="3">
        <v>20</v>
      </c>
      <c r="J22" s="18">
        <f t="shared" si="2"/>
        <v>28.930817610062892</v>
      </c>
      <c r="K22" s="18">
        <f t="shared" si="3"/>
        <v>83.210137275607181</v>
      </c>
      <c r="L22" s="29"/>
      <c r="M22" s="1" t="s">
        <v>20</v>
      </c>
      <c r="N22" s="11">
        <v>30.487804878048781</v>
      </c>
      <c r="O22" s="1" t="s">
        <v>23</v>
      </c>
      <c r="P22" s="11">
        <v>36.50306748466258</v>
      </c>
      <c r="Q22" s="1" t="s">
        <v>21</v>
      </c>
      <c r="R22" s="11">
        <v>33.368421052631582</v>
      </c>
    </row>
    <row r="23" spans="2:18" x14ac:dyDescent="0.3">
      <c r="B23" s="34"/>
      <c r="C23" s="3" t="s">
        <v>16</v>
      </c>
      <c r="D23" s="3">
        <f t="shared" si="0"/>
        <v>967</v>
      </c>
      <c r="E23" s="3">
        <f t="shared" si="1"/>
        <v>306</v>
      </c>
      <c r="F23" s="3">
        <v>119</v>
      </c>
      <c r="G23" s="3">
        <v>187</v>
      </c>
      <c r="H23" s="3">
        <v>641</v>
      </c>
      <c r="I23" s="3">
        <v>20</v>
      </c>
      <c r="J23" s="18">
        <f t="shared" si="2"/>
        <v>38.888888888888893</v>
      </c>
      <c r="K23" s="18">
        <f t="shared" si="3"/>
        <v>67.687434002111928</v>
      </c>
      <c r="L23" s="29"/>
      <c r="O23" s="1" t="s">
        <v>21</v>
      </c>
      <c r="P23" s="11">
        <v>31.968145620022753</v>
      </c>
      <c r="Q23" s="1" t="s">
        <v>23</v>
      </c>
      <c r="R23" s="11">
        <v>25.69832402234637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4"/>
      <c r="J24" s="25"/>
      <c r="K24" s="25"/>
      <c r="L24" s="29"/>
      <c r="O24" s="1" t="s">
        <v>20</v>
      </c>
      <c r="P24" s="11">
        <v>27.118644067796609</v>
      </c>
      <c r="Q24" s="1" t="s">
        <v>20</v>
      </c>
      <c r="R24" s="11">
        <v>24.840764331210192</v>
      </c>
    </row>
    <row r="25" spans="2:18" x14ac:dyDescent="0.3">
      <c r="K25" s="28"/>
      <c r="L25" s="4"/>
    </row>
    <row r="26" spans="2:18" x14ac:dyDescent="0.3">
      <c r="L26" s="4"/>
    </row>
    <row r="27" spans="2:18" x14ac:dyDescent="0.3">
      <c r="B27" s="30" t="s">
        <v>27</v>
      </c>
      <c r="C27" s="30"/>
      <c r="D27" s="30"/>
      <c r="E27" s="30"/>
      <c r="G27" t="s">
        <v>36</v>
      </c>
      <c r="H27" s="58" t="s">
        <v>55</v>
      </c>
      <c r="I27" s="12" t="s">
        <v>15</v>
      </c>
      <c r="J27" s="7">
        <f>(J4+J7+J10+J13+J19)/5</f>
        <v>40.516854733504331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  <c r="H28" s="58"/>
      <c r="I28" s="12" t="s">
        <v>16</v>
      </c>
      <c r="J28" s="7">
        <f>(J5+J8+J11+J14+J20)/5</f>
        <v>40.746462213970503</v>
      </c>
    </row>
    <row r="29" spans="2:18" x14ac:dyDescent="0.3">
      <c r="B29" s="15" t="s">
        <v>31</v>
      </c>
      <c r="C29" s="12">
        <v>967</v>
      </c>
      <c r="D29" s="12">
        <v>20</v>
      </c>
      <c r="E29" s="12">
        <f>C29-D29</f>
        <v>947</v>
      </c>
      <c r="H29" s="58"/>
      <c r="I29" s="12" t="s">
        <v>18</v>
      </c>
      <c r="J29" s="7">
        <f>(J6+J9+J12+J15+J21)/5</f>
        <v>40.761692921363235</v>
      </c>
    </row>
    <row r="30" spans="2:18" x14ac:dyDescent="0.3">
      <c r="B30" s="15" t="s">
        <v>32</v>
      </c>
      <c r="C30" s="12">
        <v>57</v>
      </c>
      <c r="D30" s="12"/>
      <c r="E30" s="12"/>
    </row>
    <row r="31" spans="2:18" x14ac:dyDescent="0.3">
      <c r="B31" s="15" t="s">
        <v>33</v>
      </c>
      <c r="C31" s="12">
        <f>SUM(C29:C30)</f>
        <v>1024</v>
      </c>
      <c r="D31" s="12"/>
      <c r="E31" s="12">
        <f t="shared" ref="E31" si="4">SUM(E29:E30)</f>
        <v>947</v>
      </c>
    </row>
  </sheetData>
  <mergeCells count="16">
    <mergeCell ref="B19:B21"/>
    <mergeCell ref="B27:E27"/>
    <mergeCell ref="B13:B15"/>
    <mergeCell ref="M15:R15"/>
    <mergeCell ref="M16:N16"/>
    <mergeCell ref="O16:P16"/>
    <mergeCell ref="Q16:R16"/>
    <mergeCell ref="B16:B18"/>
    <mergeCell ref="B22:B24"/>
    <mergeCell ref="H27:H29"/>
    <mergeCell ref="B10:B12"/>
    <mergeCell ref="M2:R2"/>
    <mergeCell ref="B3:C3"/>
    <mergeCell ref="B4:B6"/>
    <mergeCell ref="B7:B9"/>
    <mergeCell ref="B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224-CE76-411E-A40B-C8F05224CC97}">
  <sheetPr>
    <tabColor theme="8" tint="0.59999389629810485"/>
  </sheetPr>
  <dimension ref="B2:R31"/>
  <sheetViews>
    <sheetView zoomScale="75" zoomScaleNormal="75" workbookViewId="0">
      <selection activeCell="D24" sqref="D24:K24"/>
    </sheetView>
  </sheetViews>
  <sheetFormatPr baseColWidth="10" defaultColWidth="8.88671875" defaultRowHeight="14.4" x14ac:dyDescent="0.3"/>
  <cols>
    <col min="2" max="2" width="14" bestFit="1" customWidth="1"/>
    <col min="3" max="4" width="14" customWidth="1"/>
    <col min="5" max="12" width="11.6640625" customWidth="1"/>
    <col min="13" max="18" width="14.5546875" customWidth="1"/>
  </cols>
  <sheetData>
    <row r="2" spans="2:18" x14ac:dyDescent="0.3">
      <c r="B2" s="55" t="s">
        <v>42</v>
      </c>
      <c r="C2" s="55"/>
      <c r="D2" s="55"/>
      <c r="E2" s="55"/>
      <c r="F2" s="55"/>
      <c r="G2" s="55"/>
      <c r="H2" s="55"/>
      <c r="I2" s="55"/>
      <c r="J2" s="55"/>
      <c r="K2" s="55"/>
      <c r="M2" s="33" t="s">
        <v>1</v>
      </c>
      <c r="N2" s="33"/>
      <c r="O2" s="33"/>
      <c r="P2" s="33"/>
      <c r="Q2" s="33"/>
      <c r="R2" s="33"/>
    </row>
    <row r="3" spans="2:18" ht="43.2" x14ac:dyDescent="0.3">
      <c r="B3" s="56" t="s">
        <v>2</v>
      </c>
      <c r="C3" s="56"/>
      <c r="D3" s="57" t="s">
        <v>51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50</v>
      </c>
      <c r="J3" s="6" t="s">
        <v>7</v>
      </c>
      <c r="K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E4+H4+I4</f>
        <v>1025</v>
      </c>
      <c r="E4" s="3">
        <f>F4+G4</f>
        <v>993</v>
      </c>
      <c r="F4" s="3">
        <v>636</v>
      </c>
      <c r="G4" s="3">
        <v>357</v>
      </c>
      <c r="H4" s="3">
        <v>3</v>
      </c>
      <c r="I4" s="3">
        <v>29</v>
      </c>
      <c r="J4" s="18">
        <f>(F4/E4)*100</f>
        <v>64.048338368580062</v>
      </c>
      <c r="K4" s="18">
        <f>(H4/996)*100</f>
        <v>0.30120481927710846</v>
      </c>
      <c r="L4" s="29"/>
      <c r="M4" s="14" t="s">
        <v>14</v>
      </c>
      <c r="N4" s="7">
        <f>J5-J6</f>
        <v>0.78466112740306215</v>
      </c>
      <c r="O4" s="8"/>
      <c r="P4" s="7">
        <f>J4-J5</f>
        <v>2.4555964330961899</v>
      </c>
      <c r="Q4" s="8"/>
      <c r="R4" s="7">
        <f>J4-J6</f>
        <v>3.2402575604992521</v>
      </c>
    </row>
    <row r="5" spans="2:18" x14ac:dyDescent="0.3">
      <c r="B5" s="34"/>
      <c r="C5" s="3" t="s">
        <v>16</v>
      </c>
      <c r="D5" s="3">
        <f t="shared" ref="D5:D24" si="0">E5+H5+I5</f>
        <v>1025</v>
      </c>
      <c r="E5" s="3">
        <f t="shared" ref="E5:E24" si="1">F5+G5</f>
        <v>992</v>
      </c>
      <c r="F5" s="3">
        <v>611</v>
      </c>
      <c r="G5" s="3">
        <v>381</v>
      </c>
      <c r="H5" s="3">
        <v>4</v>
      </c>
      <c r="I5" s="3">
        <v>29</v>
      </c>
      <c r="J5" s="18">
        <f t="shared" ref="J5:J23" si="2">(F5/E5)*100</f>
        <v>61.592741935483872</v>
      </c>
      <c r="K5" s="18">
        <f t="shared" ref="K5:K24" si="3">(H5/996)*100</f>
        <v>0.40160642570281119</v>
      </c>
      <c r="L5" s="4"/>
      <c r="M5" s="14" t="s">
        <v>17</v>
      </c>
      <c r="N5" s="7">
        <f>J8-J9</f>
        <v>13.573407202216067</v>
      </c>
      <c r="O5" s="8"/>
      <c r="P5" s="7">
        <f>J7-J8</f>
        <v>-2.5729216658667937</v>
      </c>
      <c r="Q5" s="8"/>
      <c r="R5" s="7">
        <f>J7-J9</f>
        <v>11.000485536349274</v>
      </c>
    </row>
    <row r="6" spans="2:18" x14ac:dyDescent="0.3">
      <c r="B6" s="34"/>
      <c r="C6" s="3" t="s">
        <v>18</v>
      </c>
      <c r="D6" s="3">
        <f t="shared" si="0"/>
        <v>1025</v>
      </c>
      <c r="E6" s="3">
        <f t="shared" si="1"/>
        <v>990</v>
      </c>
      <c r="F6" s="3">
        <v>602</v>
      </c>
      <c r="G6" s="3">
        <v>388</v>
      </c>
      <c r="H6" s="3">
        <v>6</v>
      </c>
      <c r="I6" s="3">
        <v>29</v>
      </c>
      <c r="J6" s="18">
        <f t="shared" si="2"/>
        <v>60.80808080808081</v>
      </c>
      <c r="K6" s="18">
        <f t="shared" si="3"/>
        <v>0.60240963855421692</v>
      </c>
      <c r="L6" s="4"/>
      <c r="M6" s="14" t="s">
        <v>19</v>
      </c>
      <c r="N6" s="7">
        <f>J11-J12</f>
        <v>-2.4413565804763948E-3</v>
      </c>
      <c r="O6" s="8"/>
      <c r="P6" s="7">
        <f>J10-J11</f>
        <v>1.0565466361128202</v>
      </c>
      <c r="Q6" s="8"/>
      <c r="R6" s="7">
        <f>J10-J12</f>
        <v>1.0541052795323438</v>
      </c>
    </row>
    <row r="7" spans="2:18" x14ac:dyDescent="0.3">
      <c r="B7" s="34" t="s">
        <v>17</v>
      </c>
      <c r="C7" s="1" t="s">
        <v>15</v>
      </c>
      <c r="D7" s="1">
        <f t="shared" si="0"/>
        <v>1025</v>
      </c>
      <c r="E7" s="1">
        <f t="shared" si="1"/>
        <v>987</v>
      </c>
      <c r="F7" s="1">
        <v>572</v>
      </c>
      <c r="G7" s="1">
        <v>415</v>
      </c>
      <c r="H7" s="1">
        <v>9</v>
      </c>
      <c r="I7" s="1">
        <v>29</v>
      </c>
      <c r="J7" s="19">
        <f t="shared" si="2"/>
        <v>57.953394123606891</v>
      </c>
      <c r="K7" s="19">
        <f t="shared" si="3"/>
        <v>0.90361445783132521</v>
      </c>
      <c r="L7" s="4"/>
      <c r="M7" s="14" t="s">
        <v>20</v>
      </c>
      <c r="N7" s="7">
        <f>J14-J15</f>
        <v>-11.039090546469879</v>
      </c>
      <c r="O7" s="8"/>
      <c r="P7" s="7">
        <f>J13-J14</f>
        <v>6.5825688073394488</v>
      </c>
      <c r="Q7" s="8"/>
      <c r="R7" s="7">
        <f>J13-J15</f>
        <v>-4.4565217391304301</v>
      </c>
    </row>
    <row r="8" spans="2:18" x14ac:dyDescent="0.3">
      <c r="B8" s="34"/>
      <c r="C8" s="1" t="s">
        <v>16</v>
      </c>
      <c r="D8" s="1">
        <f t="shared" si="0"/>
        <v>1025</v>
      </c>
      <c r="E8" s="1">
        <f t="shared" si="1"/>
        <v>988</v>
      </c>
      <c r="F8" s="1">
        <v>598</v>
      </c>
      <c r="G8" s="1">
        <v>390</v>
      </c>
      <c r="H8" s="1">
        <v>8</v>
      </c>
      <c r="I8" s="1">
        <v>29</v>
      </c>
      <c r="J8" s="19">
        <f t="shared" si="2"/>
        <v>60.526315789473685</v>
      </c>
      <c r="K8" s="19">
        <f t="shared" si="3"/>
        <v>0.80321285140562237</v>
      </c>
      <c r="L8" s="4"/>
      <c r="M8" s="14" t="s">
        <v>21</v>
      </c>
      <c r="N8" s="9"/>
      <c r="O8" s="7">
        <f>J17-J14</f>
        <v>13.486189680608881</v>
      </c>
      <c r="P8" s="7">
        <f>J16-J17</f>
        <v>-0.53151614013750503</v>
      </c>
      <c r="Q8" s="7">
        <f>J16-J13</f>
        <v>6.3721047331319269</v>
      </c>
      <c r="R8" s="7">
        <f>J16-J15</f>
        <v>1.9155829940014968</v>
      </c>
    </row>
    <row r="9" spans="2:18" x14ac:dyDescent="0.3">
      <c r="B9" s="34"/>
      <c r="C9" s="1" t="s">
        <v>18</v>
      </c>
      <c r="D9" s="1">
        <f t="shared" si="0"/>
        <v>1025</v>
      </c>
      <c r="E9" s="1">
        <f t="shared" si="1"/>
        <v>722</v>
      </c>
      <c r="F9" s="1">
        <v>339</v>
      </c>
      <c r="G9" s="1">
        <v>383</v>
      </c>
      <c r="H9" s="1">
        <v>274</v>
      </c>
      <c r="I9" s="1">
        <v>29</v>
      </c>
      <c r="J9" s="19">
        <f t="shared" si="2"/>
        <v>46.952908587257618</v>
      </c>
      <c r="K9" s="19">
        <f t="shared" si="3"/>
        <v>27.510040160642568</v>
      </c>
      <c r="L9" s="4"/>
      <c r="M9" s="14" t="s">
        <v>22</v>
      </c>
      <c r="N9" s="7">
        <f>J20-J21</f>
        <v>28.657886760723123</v>
      </c>
      <c r="O9" s="8"/>
      <c r="P9" s="7">
        <f>J19-J20</f>
        <v>-17.973456878047081</v>
      </c>
      <c r="Q9" s="8"/>
      <c r="R9" s="7">
        <f>J19-J21</f>
        <v>10.684429882676042</v>
      </c>
    </row>
    <row r="10" spans="2:18" x14ac:dyDescent="0.3">
      <c r="B10" s="34" t="s">
        <v>19</v>
      </c>
      <c r="C10" s="3" t="s">
        <v>15</v>
      </c>
      <c r="D10" s="3">
        <f t="shared" si="0"/>
        <v>1025</v>
      </c>
      <c r="E10" s="3">
        <f t="shared" si="1"/>
        <v>989</v>
      </c>
      <c r="F10" s="3">
        <v>579</v>
      </c>
      <c r="G10" s="3">
        <v>410</v>
      </c>
      <c r="H10" s="3">
        <v>7</v>
      </c>
      <c r="I10" s="3">
        <v>29</v>
      </c>
      <c r="J10" s="18">
        <f t="shared" si="2"/>
        <v>58.543983822042463</v>
      </c>
      <c r="K10" s="18">
        <f t="shared" si="3"/>
        <v>0.70281124497991965</v>
      </c>
      <c r="L10" s="4"/>
      <c r="M10" s="14" t="s">
        <v>23</v>
      </c>
      <c r="N10" s="9"/>
      <c r="O10" s="7">
        <f>J23-J20</f>
        <v>-4.4009213922746611</v>
      </c>
      <c r="P10" s="7">
        <f>J22-J23</f>
        <v>-28.412986489211537</v>
      </c>
      <c r="Q10" s="7">
        <f>J22-J20</f>
        <v>-32.813907881486202</v>
      </c>
      <c r="R10" s="7">
        <f>J22-J21</f>
        <v>-4.1560211207630751</v>
      </c>
    </row>
    <row r="11" spans="2:18" x14ac:dyDescent="0.3">
      <c r="B11" s="34"/>
      <c r="C11" s="3" t="s">
        <v>16</v>
      </c>
      <c r="D11" s="3">
        <f t="shared" si="0"/>
        <v>1025</v>
      </c>
      <c r="E11" s="3">
        <f t="shared" si="1"/>
        <v>995</v>
      </c>
      <c r="F11" s="3">
        <v>572</v>
      </c>
      <c r="G11" s="3">
        <v>423</v>
      </c>
      <c r="H11" s="3">
        <v>1</v>
      </c>
      <c r="I11" s="3">
        <v>29</v>
      </c>
      <c r="J11" s="18">
        <f t="shared" si="2"/>
        <v>57.487437185929643</v>
      </c>
      <c r="K11" s="18">
        <f t="shared" si="3"/>
        <v>0.1004016064257028</v>
      </c>
      <c r="L11" s="4"/>
    </row>
    <row r="12" spans="2:18" x14ac:dyDescent="0.3">
      <c r="B12" s="34"/>
      <c r="C12" s="3" t="s">
        <v>18</v>
      </c>
      <c r="D12" s="3">
        <f t="shared" si="0"/>
        <v>1025</v>
      </c>
      <c r="E12" s="3">
        <f t="shared" si="1"/>
        <v>988</v>
      </c>
      <c r="F12" s="3">
        <v>568</v>
      </c>
      <c r="G12" s="3">
        <v>420</v>
      </c>
      <c r="H12" s="3">
        <v>8</v>
      </c>
      <c r="I12" s="3">
        <v>29</v>
      </c>
      <c r="J12" s="18">
        <f t="shared" si="2"/>
        <v>57.48987854251012</v>
      </c>
      <c r="K12" s="18">
        <f t="shared" si="3"/>
        <v>0.80321285140562237</v>
      </c>
      <c r="L12" s="4"/>
    </row>
    <row r="13" spans="2:18" ht="14.4" customHeight="1" x14ac:dyDescent="0.3">
      <c r="B13" s="34" t="s">
        <v>20</v>
      </c>
      <c r="C13" s="1" t="s">
        <v>15</v>
      </c>
      <c r="D13" s="1">
        <f t="shared" si="0"/>
        <v>1025</v>
      </c>
      <c r="E13" s="1">
        <f t="shared" si="1"/>
        <v>280</v>
      </c>
      <c r="F13" s="1">
        <v>91</v>
      </c>
      <c r="G13" s="1">
        <v>189</v>
      </c>
      <c r="H13" s="1">
        <v>716</v>
      </c>
      <c r="I13" s="1">
        <v>29</v>
      </c>
      <c r="J13" s="19">
        <f t="shared" si="2"/>
        <v>32.5</v>
      </c>
      <c r="K13" s="19">
        <f t="shared" si="3"/>
        <v>71.887550200803204</v>
      </c>
      <c r="L13" s="4"/>
    </row>
    <row r="14" spans="2:18" x14ac:dyDescent="0.3">
      <c r="B14" s="34"/>
      <c r="C14" s="1" t="s">
        <v>16</v>
      </c>
      <c r="D14" s="1">
        <f t="shared" si="0"/>
        <v>1025</v>
      </c>
      <c r="E14" s="1">
        <f t="shared" si="1"/>
        <v>436</v>
      </c>
      <c r="F14" s="1">
        <v>113</v>
      </c>
      <c r="G14" s="1">
        <v>323</v>
      </c>
      <c r="H14" s="1">
        <v>560</v>
      </c>
      <c r="I14" s="1">
        <v>29</v>
      </c>
      <c r="J14" s="19">
        <f t="shared" si="2"/>
        <v>25.917431192660551</v>
      </c>
      <c r="K14" s="19">
        <f t="shared" si="3"/>
        <v>56.224899598393577</v>
      </c>
      <c r="L14" s="4"/>
    </row>
    <row r="15" spans="2:18" x14ac:dyDescent="0.3">
      <c r="B15" s="34"/>
      <c r="C15" s="1" t="s">
        <v>18</v>
      </c>
      <c r="D15" s="1">
        <f t="shared" si="0"/>
        <v>1025</v>
      </c>
      <c r="E15" s="1">
        <f t="shared" si="1"/>
        <v>46</v>
      </c>
      <c r="F15" s="1">
        <v>17</v>
      </c>
      <c r="G15" s="1">
        <v>29</v>
      </c>
      <c r="H15" s="1">
        <v>950</v>
      </c>
      <c r="I15" s="1">
        <v>29</v>
      </c>
      <c r="J15" s="19">
        <f t="shared" si="2"/>
        <v>36.95652173913043</v>
      </c>
      <c r="K15" s="19">
        <f t="shared" si="3"/>
        <v>95.381526104417674</v>
      </c>
      <c r="L15" s="4"/>
      <c r="M15" s="37" t="s">
        <v>24</v>
      </c>
      <c r="N15" s="38"/>
      <c r="O15" s="38"/>
      <c r="P15" s="38"/>
      <c r="Q15" s="38"/>
      <c r="R15" s="39"/>
    </row>
    <row r="16" spans="2:18" x14ac:dyDescent="0.3">
      <c r="B16" s="34" t="s">
        <v>21</v>
      </c>
      <c r="C16" s="3" t="s">
        <v>15</v>
      </c>
      <c r="D16" s="3">
        <f t="shared" si="0"/>
        <v>1025</v>
      </c>
      <c r="E16" s="3">
        <f t="shared" si="1"/>
        <v>993</v>
      </c>
      <c r="F16" s="3">
        <v>386</v>
      </c>
      <c r="G16" s="3">
        <v>607</v>
      </c>
      <c r="H16" s="3">
        <v>3</v>
      </c>
      <c r="I16" s="3">
        <v>29</v>
      </c>
      <c r="J16" s="18">
        <f t="shared" si="2"/>
        <v>38.872104733131927</v>
      </c>
      <c r="K16" s="18">
        <f t="shared" si="3"/>
        <v>0.30120481927710846</v>
      </c>
      <c r="L16" s="4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34"/>
      <c r="C17" s="3" t="s">
        <v>16</v>
      </c>
      <c r="D17" s="3">
        <f t="shared" si="0"/>
        <v>1025</v>
      </c>
      <c r="E17" s="3">
        <f t="shared" si="1"/>
        <v>939</v>
      </c>
      <c r="F17" s="3">
        <v>370</v>
      </c>
      <c r="G17" s="3">
        <v>569</v>
      </c>
      <c r="H17" s="3">
        <v>57</v>
      </c>
      <c r="I17" s="3">
        <v>29</v>
      </c>
      <c r="J17" s="18">
        <f t="shared" si="2"/>
        <v>39.403620873269432</v>
      </c>
      <c r="K17" s="18">
        <f t="shared" si="3"/>
        <v>5.7228915662650603</v>
      </c>
      <c r="L17" s="4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34"/>
      <c r="C18" s="24" t="s">
        <v>18</v>
      </c>
      <c r="D18" s="24"/>
      <c r="E18" s="24"/>
      <c r="F18" s="24"/>
      <c r="G18" s="24"/>
      <c r="H18" s="24"/>
      <c r="I18" s="24"/>
      <c r="J18" s="25"/>
      <c r="K18" s="25"/>
      <c r="L18" s="4"/>
      <c r="M18" s="1" t="s">
        <v>14</v>
      </c>
      <c r="N18" s="11">
        <v>59.077526987242393</v>
      </c>
      <c r="O18" s="1" t="s">
        <v>22</v>
      </c>
      <c r="P18" s="11">
        <v>60.861056751467714</v>
      </c>
      <c r="Q18" s="1" t="s">
        <v>14</v>
      </c>
      <c r="R18" s="11">
        <v>62.230919765166334</v>
      </c>
    </row>
    <row r="19" spans="2:18" x14ac:dyDescent="0.3">
      <c r="B19" s="34" t="s">
        <v>22</v>
      </c>
      <c r="C19" s="1" t="s">
        <v>15</v>
      </c>
      <c r="D19" s="1">
        <f t="shared" si="0"/>
        <v>1025</v>
      </c>
      <c r="E19" s="1">
        <f t="shared" si="1"/>
        <v>403</v>
      </c>
      <c r="F19" s="1">
        <v>180</v>
      </c>
      <c r="G19" s="1">
        <v>223</v>
      </c>
      <c r="H19" s="1">
        <v>593</v>
      </c>
      <c r="I19" s="1">
        <v>29</v>
      </c>
      <c r="J19" s="19">
        <f t="shared" si="2"/>
        <v>44.665012406947888</v>
      </c>
      <c r="K19" s="19">
        <f t="shared" si="3"/>
        <v>59.538152610441763</v>
      </c>
      <c r="L19" s="4"/>
      <c r="M19" s="1" t="s">
        <v>19</v>
      </c>
      <c r="N19" s="11">
        <v>55.850540806293012</v>
      </c>
      <c r="O19" s="1" t="s">
        <v>14</v>
      </c>
      <c r="P19" s="11">
        <v>59.843290891283054</v>
      </c>
      <c r="Q19" s="1" t="s">
        <v>19</v>
      </c>
      <c r="R19" s="11">
        <v>56.876227897838902</v>
      </c>
    </row>
    <row r="20" spans="2:18" x14ac:dyDescent="0.3">
      <c r="B20" s="34"/>
      <c r="C20" s="1" t="s">
        <v>16</v>
      </c>
      <c r="D20" s="1">
        <f t="shared" si="0"/>
        <v>1025</v>
      </c>
      <c r="E20" s="1">
        <f t="shared" si="1"/>
        <v>993</v>
      </c>
      <c r="F20" s="1">
        <v>622</v>
      </c>
      <c r="G20" s="1">
        <v>371</v>
      </c>
      <c r="H20" s="1">
        <v>3</v>
      </c>
      <c r="I20" s="1">
        <v>29</v>
      </c>
      <c r="J20" s="19">
        <f t="shared" si="2"/>
        <v>62.638469284994969</v>
      </c>
      <c r="K20" s="19">
        <f t="shared" si="3"/>
        <v>0.30120481927710846</v>
      </c>
      <c r="L20" s="4"/>
      <c r="M20" s="1" t="s">
        <v>17</v>
      </c>
      <c r="N20" s="11">
        <v>45.139813581890813</v>
      </c>
      <c r="O20" s="1" t="s">
        <v>17</v>
      </c>
      <c r="P20" s="11">
        <v>58.800393313667655</v>
      </c>
      <c r="Q20" s="1" t="s">
        <v>17</v>
      </c>
      <c r="R20" s="11">
        <v>56.2992125984252</v>
      </c>
    </row>
    <row r="21" spans="2:18" x14ac:dyDescent="0.3">
      <c r="B21" s="34"/>
      <c r="C21" s="1" t="s">
        <v>18</v>
      </c>
      <c r="D21" s="1">
        <f t="shared" si="0"/>
        <v>1025</v>
      </c>
      <c r="E21" s="1">
        <f t="shared" si="1"/>
        <v>206</v>
      </c>
      <c r="F21" s="1">
        <v>70</v>
      </c>
      <c r="G21" s="1">
        <v>136</v>
      </c>
      <c r="H21" s="1">
        <v>790</v>
      </c>
      <c r="I21" s="1">
        <v>29</v>
      </c>
      <c r="J21" s="19">
        <f t="shared" si="2"/>
        <v>33.980582524271846</v>
      </c>
      <c r="K21" s="19">
        <f t="shared" si="3"/>
        <v>79.317269076305223</v>
      </c>
      <c r="L21" s="4"/>
      <c r="M21" s="1" t="s">
        <v>22</v>
      </c>
      <c r="N21" s="11">
        <v>29.787234042553191</v>
      </c>
      <c r="O21" s="1" t="s">
        <v>23</v>
      </c>
      <c r="P21" s="11">
        <v>56.157635467980292</v>
      </c>
      <c r="Q21" s="1" t="s">
        <v>22</v>
      </c>
      <c r="R21" s="11">
        <v>42.654028436018962</v>
      </c>
    </row>
    <row r="22" spans="2:18" x14ac:dyDescent="0.3">
      <c r="B22" s="34" t="s">
        <v>23</v>
      </c>
      <c r="C22" s="3" t="s">
        <v>15</v>
      </c>
      <c r="D22" s="3">
        <f t="shared" si="0"/>
        <v>1025</v>
      </c>
      <c r="E22" s="3">
        <f t="shared" si="1"/>
        <v>228</v>
      </c>
      <c r="F22" s="3">
        <v>68</v>
      </c>
      <c r="G22" s="3">
        <v>160</v>
      </c>
      <c r="H22" s="3">
        <v>768</v>
      </c>
      <c r="I22" s="3">
        <v>29</v>
      </c>
      <c r="J22" s="18">
        <f t="shared" si="2"/>
        <v>29.82456140350877</v>
      </c>
      <c r="K22" s="18">
        <f t="shared" si="3"/>
        <v>77.108433734939766</v>
      </c>
      <c r="L22" s="4"/>
      <c r="M22" s="1" t="s">
        <v>20</v>
      </c>
      <c r="N22" s="11">
        <v>22.666666666666664</v>
      </c>
      <c r="O22" s="1" t="s">
        <v>19</v>
      </c>
      <c r="P22" s="11">
        <v>55.859375</v>
      </c>
      <c r="Q22" s="1" t="s">
        <v>21</v>
      </c>
      <c r="R22" s="11">
        <v>37.769080234833659</v>
      </c>
    </row>
    <row r="23" spans="2:18" x14ac:dyDescent="0.3">
      <c r="B23" s="34"/>
      <c r="C23" s="3" t="s">
        <v>16</v>
      </c>
      <c r="D23" s="3">
        <f t="shared" si="0"/>
        <v>1025</v>
      </c>
      <c r="E23" s="3">
        <f t="shared" si="1"/>
        <v>783</v>
      </c>
      <c r="F23" s="3">
        <v>456</v>
      </c>
      <c r="G23" s="3">
        <v>327</v>
      </c>
      <c r="H23" s="3">
        <v>213</v>
      </c>
      <c r="I23" s="3">
        <v>29</v>
      </c>
      <c r="J23" s="18">
        <f t="shared" si="2"/>
        <v>58.237547892720308</v>
      </c>
      <c r="K23" s="18">
        <f t="shared" si="3"/>
        <v>21.385542168674696</v>
      </c>
      <c r="L23" s="4"/>
      <c r="O23" s="1" t="s">
        <v>21</v>
      </c>
      <c r="P23" s="11">
        <v>38.223140495867767</v>
      </c>
      <c r="Q23" s="1" t="s">
        <v>20</v>
      </c>
      <c r="R23" s="11">
        <v>29.449838187702266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4"/>
      <c r="J24" s="25"/>
      <c r="K24" s="25"/>
      <c r="L24" s="4"/>
      <c r="O24" s="1" t="s">
        <v>20</v>
      </c>
      <c r="P24" s="11">
        <v>24.301075268817204</v>
      </c>
      <c r="Q24" s="1" t="s">
        <v>23</v>
      </c>
      <c r="R24" s="11">
        <v>26.459143968871597</v>
      </c>
    </row>
    <row r="25" spans="2:18" x14ac:dyDescent="0.3">
      <c r="L25" s="4"/>
    </row>
    <row r="26" spans="2:18" x14ac:dyDescent="0.3">
      <c r="L26" s="4"/>
    </row>
    <row r="27" spans="2:18" x14ac:dyDescent="0.3">
      <c r="B27" s="30" t="s">
        <v>27</v>
      </c>
      <c r="C27" s="30"/>
      <c r="D27" s="30"/>
      <c r="E27" s="30"/>
      <c r="G27" t="s">
        <v>36</v>
      </c>
      <c r="H27" s="58" t="s">
        <v>55</v>
      </c>
      <c r="I27" s="12" t="s">
        <v>15</v>
      </c>
      <c r="J27" s="7">
        <f>(J4+J7+J10+J13+J19)/5</f>
        <v>51.542145744235462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  <c r="H28" s="58"/>
      <c r="I28" s="12" t="s">
        <v>16</v>
      </c>
      <c r="J28" s="7">
        <f t="shared" ref="J28" si="4">(J5+J8+J11+J14+J20)/5</f>
        <v>53.632479077708545</v>
      </c>
    </row>
    <row r="29" spans="2:18" x14ac:dyDescent="0.3">
      <c r="B29" s="15" t="s">
        <v>31</v>
      </c>
      <c r="C29" s="12">
        <v>1025</v>
      </c>
      <c r="D29" s="12">
        <v>29</v>
      </c>
      <c r="E29" s="12">
        <f>C29-D29</f>
        <v>996</v>
      </c>
      <c r="H29" s="58"/>
      <c r="I29" s="12" t="s">
        <v>18</v>
      </c>
      <c r="J29" s="7">
        <f>(J6+J9+J12+J15+J21)/5</f>
        <v>47.237594440250163</v>
      </c>
    </row>
    <row r="30" spans="2:18" x14ac:dyDescent="0.3">
      <c r="B30" s="15" t="s">
        <v>32</v>
      </c>
      <c r="C30" s="12">
        <v>0</v>
      </c>
      <c r="D30" s="12"/>
      <c r="E30" s="12"/>
    </row>
    <row r="31" spans="2:18" x14ac:dyDescent="0.3">
      <c r="B31" s="15" t="s">
        <v>33</v>
      </c>
      <c r="C31" s="12">
        <f>SUM(C29:C30)</f>
        <v>1025</v>
      </c>
      <c r="D31" s="12"/>
      <c r="E31" s="12">
        <f t="shared" ref="E31" si="5">SUM(E29:E30)</f>
        <v>996</v>
      </c>
    </row>
  </sheetData>
  <mergeCells count="16">
    <mergeCell ref="B19:B21"/>
    <mergeCell ref="B27:E27"/>
    <mergeCell ref="B13:B15"/>
    <mergeCell ref="M15:R15"/>
    <mergeCell ref="M16:N16"/>
    <mergeCell ref="O16:P16"/>
    <mergeCell ref="Q16:R16"/>
    <mergeCell ref="B16:B18"/>
    <mergeCell ref="B22:B24"/>
    <mergeCell ref="H27:H29"/>
    <mergeCell ref="B10:B12"/>
    <mergeCell ref="M2:R2"/>
    <mergeCell ref="B3:C3"/>
    <mergeCell ref="B4:B6"/>
    <mergeCell ref="B7:B9"/>
    <mergeCell ref="B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34-3282-4041-B3E7-C79A4E84CEA2}">
  <sheetPr>
    <tabColor theme="8" tint="0.59999389629810485"/>
  </sheetPr>
  <dimension ref="B2:R31"/>
  <sheetViews>
    <sheetView zoomScale="75" zoomScaleNormal="75" workbookViewId="0">
      <selection activeCell="D24" sqref="D24:K24"/>
    </sheetView>
  </sheetViews>
  <sheetFormatPr baseColWidth="10" defaultColWidth="8.88671875" defaultRowHeight="14.4" x14ac:dyDescent="0.3"/>
  <cols>
    <col min="2" max="2" width="14" bestFit="1" customWidth="1"/>
    <col min="3" max="4" width="14" customWidth="1"/>
    <col min="5" max="12" width="11.6640625" customWidth="1"/>
    <col min="13" max="18" width="14.5546875" customWidth="1"/>
  </cols>
  <sheetData>
    <row r="2" spans="2:18" x14ac:dyDescent="0.3">
      <c r="B2" s="55" t="s">
        <v>44</v>
      </c>
      <c r="C2" s="55"/>
      <c r="D2" s="55"/>
      <c r="E2" s="55"/>
      <c r="F2" s="55"/>
      <c r="G2" s="55"/>
      <c r="H2" s="55"/>
      <c r="I2" s="55"/>
      <c r="J2" s="55"/>
      <c r="K2" s="55"/>
      <c r="M2" s="33" t="s">
        <v>1</v>
      </c>
      <c r="N2" s="33"/>
      <c r="O2" s="33"/>
      <c r="P2" s="33"/>
      <c r="Q2" s="33"/>
      <c r="R2" s="33"/>
    </row>
    <row r="3" spans="2:18" ht="43.2" x14ac:dyDescent="0.3">
      <c r="B3" s="56" t="s">
        <v>2</v>
      </c>
      <c r="C3" s="56"/>
      <c r="D3" s="57" t="s">
        <v>51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50</v>
      </c>
      <c r="J3" s="6" t="s">
        <v>7</v>
      </c>
      <c r="K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E4+H4+I4</f>
        <v>1025</v>
      </c>
      <c r="E4" s="3">
        <f>F4+G4</f>
        <v>1009</v>
      </c>
      <c r="F4" s="3">
        <v>516</v>
      </c>
      <c r="G4" s="3">
        <v>493</v>
      </c>
      <c r="H4" s="3">
        <v>0</v>
      </c>
      <c r="I4" s="3">
        <v>16</v>
      </c>
      <c r="J4" s="18">
        <f>(F4/E4)*100</f>
        <v>51.139742319127848</v>
      </c>
      <c r="K4" s="18">
        <f>(H4/1009)*100</f>
        <v>0</v>
      </c>
      <c r="L4" s="29"/>
      <c r="M4" s="14" t="s">
        <v>14</v>
      </c>
      <c r="N4" s="7">
        <f>J5-J6</f>
        <v>1.8263627353815721</v>
      </c>
      <c r="O4" s="8"/>
      <c r="P4" s="7">
        <f>J4-J5</f>
        <v>-1.4866204162537215</v>
      </c>
      <c r="Q4" s="8"/>
      <c r="R4" s="7">
        <f>J4-J6</f>
        <v>0.33974231912785058</v>
      </c>
    </row>
    <row r="5" spans="2:18" x14ac:dyDescent="0.3">
      <c r="B5" s="34"/>
      <c r="C5" s="3" t="s">
        <v>16</v>
      </c>
      <c r="D5" s="3">
        <f t="shared" ref="D5:D24" si="0">E5+H5+I5</f>
        <v>1025</v>
      </c>
      <c r="E5" s="3">
        <f t="shared" ref="E5:E24" si="1">F5+G5</f>
        <v>1009</v>
      </c>
      <c r="F5" s="3">
        <v>531</v>
      </c>
      <c r="G5" s="3">
        <v>478</v>
      </c>
      <c r="H5" s="3">
        <v>0</v>
      </c>
      <c r="I5" s="3">
        <v>16</v>
      </c>
      <c r="J5" s="18">
        <f t="shared" ref="J5:J23" si="2">(F5/E5)*100</f>
        <v>52.626362735381569</v>
      </c>
      <c r="K5" s="18">
        <f t="shared" ref="K5:K24" si="3">(H5/1009)*100</f>
        <v>0</v>
      </c>
      <c r="L5" s="4"/>
      <c r="M5" s="14" t="s">
        <v>17</v>
      </c>
      <c r="N5" s="7">
        <f>J8-J9</f>
        <v>6.8968175076944362</v>
      </c>
      <c r="O5" s="8"/>
      <c r="P5" s="7">
        <f>J7-J8</f>
        <v>-0.11784763556964606</v>
      </c>
      <c r="Q5" s="8"/>
      <c r="R5" s="7">
        <f>J7-J9</f>
        <v>6.7789698721247902</v>
      </c>
    </row>
    <row r="6" spans="2:18" x14ac:dyDescent="0.3">
      <c r="B6" s="34"/>
      <c r="C6" s="3" t="s">
        <v>18</v>
      </c>
      <c r="D6" s="3">
        <f t="shared" si="0"/>
        <v>1025</v>
      </c>
      <c r="E6" s="3">
        <f t="shared" si="1"/>
        <v>1000</v>
      </c>
      <c r="F6" s="3">
        <v>508</v>
      </c>
      <c r="G6" s="3">
        <v>492</v>
      </c>
      <c r="H6" s="3">
        <v>9</v>
      </c>
      <c r="I6" s="3">
        <v>16</v>
      </c>
      <c r="J6" s="18">
        <f t="shared" si="2"/>
        <v>50.8</v>
      </c>
      <c r="K6" s="18">
        <f t="shared" si="3"/>
        <v>0.89197224975222988</v>
      </c>
      <c r="L6" s="4"/>
      <c r="M6" s="14" t="s">
        <v>19</v>
      </c>
      <c r="N6" s="7">
        <f>J11-J12</f>
        <v>0.60963425940727234</v>
      </c>
      <c r="O6" s="8"/>
      <c r="P6" s="7">
        <f>J10-J11</f>
        <v>-0.72504304417088861</v>
      </c>
      <c r="Q6" s="8"/>
      <c r="R6" s="7">
        <f>J10-J12</f>
        <v>-0.11540878476361627</v>
      </c>
    </row>
    <row r="7" spans="2:18" x14ac:dyDescent="0.3">
      <c r="B7" s="34" t="s">
        <v>17</v>
      </c>
      <c r="C7" s="1" t="s">
        <v>15</v>
      </c>
      <c r="D7" s="1">
        <f t="shared" si="0"/>
        <v>1025</v>
      </c>
      <c r="E7" s="1">
        <f t="shared" si="1"/>
        <v>1005</v>
      </c>
      <c r="F7" s="1">
        <v>456</v>
      </c>
      <c r="G7" s="1">
        <v>549</v>
      </c>
      <c r="H7" s="1">
        <v>4</v>
      </c>
      <c r="I7" s="1">
        <v>16</v>
      </c>
      <c r="J7" s="19">
        <f t="shared" si="2"/>
        <v>45.373134328358212</v>
      </c>
      <c r="K7" s="19">
        <f t="shared" si="3"/>
        <v>0.39643211100099107</v>
      </c>
      <c r="L7" s="4"/>
      <c r="M7" s="14" t="s">
        <v>20</v>
      </c>
      <c r="N7" s="7">
        <f>J14-J15</f>
        <v>-9.5000105438518752</v>
      </c>
      <c r="O7" s="8"/>
      <c r="P7" s="7">
        <f>J13-J14</f>
        <v>0.74580178964312438</v>
      </c>
      <c r="Q7" s="8"/>
      <c r="R7" s="7">
        <f>J13-J15</f>
        <v>-8.7542087542087508</v>
      </c>
    </row>
    <row r="8" spans="2:18" x14ac:dyDescent="0.3">
      <c r="B8" s="34"/>
      <c r="C8" s="1" t="s">
        <v>16</v>
      </c>
      <c r="D8" s="1">
        <f t="shared" si="0"/>
        <v>1025</v>
      </c>
      <c r="E8" s="1">
        <f t="shared" si="1"/>
        <v>998</v>
      </c>
      <c r="F8" s="1">
        <v>454</v>
      </c>
      <c r="G8" s="1">
        <v>544</v>
      </c>
      <c r="H8" s="1">
        <v>11</v>
      </c>
      <c r="I8" s="1">
        <v>16</v>
      </c>
      <c r="J8" s="19">
        <f t="shared" si="2"/>
        <v>45.490981963927858</v>
      </c>
      <c r="K8" s="19">
        <f t="shared" si="3"/>
        <v>1.0901883052527255</v>
      </c>
      <c r="L8" s="4"/>
      <c r="M8" s="14" t="s">
        <v>21</v>
      </c>
      <c r="N8" s="9"/>
      <c r="O8" s="7">
        <f>J17-J14</f>
        <v>8.4183787755248325</v>
      </c>
      <c r="P8" s="7">
        <f>J16-J17</f>
        <v>-2.2927716060763252</v>
      </c>
      <c r="Q8" s="7">
        <f>J16-J13</f>
        <v>5.3798053798053829</v>
      </c>
      <c r="R8" s="7">
        <f>J16-J15</f>
        <v>-3.3744033744033679</v>
      </c>
    </row>
    <row r="9" spans="2:18" x14ac:dyDescent="0.3">
      <c r="B9" s="34"/>
      <c r="C9" s="1" t="s">
        <v>18</v>
      </c>
      <c r="D9" s="1">
        <f t="shared" si="0"/>
        <v>1025</v>
      </c>
      <c r="E9" s="1">
        <f t="shared" si="1"/>
        <v>754</v>
      </c>
      <c r="F9" s="1">
        <v>291</v>
      </c>
      <c r="G9" s="1">
        <v>463</v>
      </c>
      <c r="H9" s="1">
        <v>255</v>
      </c>
      <c r="I9" s="1">
        <v>16</v>
      </c>
      <c r="J9" s="19">
        <f t="shared" si="2"/>
        <v>38.594164456233422</v>
      </c>
      <c r="K9" s="19">
        <f t="shared" si="3"/>
        <v>25.272547076313177</v>
      </c>
      <c r="L9" s="4"/>
      <c r="M9" s="14" t="s">
        <v>22</v>
      </c>
      <c r="N9" s="7">
        <f>J20-J21</f>
        <v>13.16410139939552</v>
      </c>
      <c r="O9" s="8"/>
      <c r="P9" s="7">
        <f>J19-J20</f>
        <v>-7.9797325698965125</v>
      </c>
      <c r="Q9" s="8"/>
      <c r="R9" s="7">
        <f>J19-J21</f>
        <v>5.1843688294990073</v>
      </c>
    </row>
    <row r="10" spans="2:18" x14ac:dyDescent="0.3">
      <c r="B10" s="34" t="s">
        <v>19</v>
      </c>
      <c r="C10" s="3" t="s">
        <v>15</v>
      </c>
      <c r="D10" s="3">
        <f t="shared" si="0"/>
        <v>1025</v>
      </c>
      <c r="E10" s="3">
        <f t="shared" si="1"/>
        <v>1001</v>
      </c>
      <c r="F10" s="3">
        <v>461</v>
      </c>
      <c r="G10" s="3">
        <v>540</v>
      </c>
      <c r="H10" s="3">
        <v>8</v>
      </c>
      <c r="I10" s="3">
        <v>16</v>
      </c>
      <c r="J10" s="18">
        <f t="shared" si="2"/>
        <v>46.053946053946056</v>
      </c>
      <c r="K10" s="18">
        <f t="shared" si="3"/>
        <v>0.79286422200198214</v>
      </c>
      <c r="L10" s="4"/>
      <c r="M10" s="14" t="s">
        <v>23</v>
      </c>
      <c r="N10" s="9"/>
      <c r="O10" s="7">
        <f>J23-J20</f>
        <v>-0.35607560458455367</v>
      </c>
      <c r="P10" s="7">
        <f>J22-J23</f>
        <v>-22.266881800981551</v>
      </c>
      <c r="Q10" s="7">
        <f>J22-J20</f>
        <v>-22.622957405566105</v>
      </c>
      <c r="R10" s="7">
        <f>J22-J21</f>
        <v>-9.4588560061705849</v>
      </c>
    </row>
    <row r="11" spans="2:18" x14ac:dyDescent="0.3">
      <c r="B11" s="34"/>
      <c r="C11" s="3" t="s">
        <v>16</v>
      </c>
      <c r="D11" s="3">
        <f t="shared" si="0"/>
        <v>1025</v>
      </c>
      <c r="E11" s="3">
        <f t="shared" si="1"/>
        <v>1009</v>
      </c>
      <c r="F11" s="3">
        <v>472</v>
      </c>
      <c r="G11" s="3">
        <v>537</v>
      </c>
      <c r="H11" s="3">
        <v>0</v>
      </c>
      <c r="I11" s="3">
        <v>16</v>
      </c>
      <c r="J11" s="18">
        <f t="shared" si="2"/>
        <v>46.778989098116945</v>
      </c>
      <c r="K11" s="18">
        <f t="shared" si="3"/>
        <v>0</v>
      </c>
      <c r="L11" s="4"/>
    </row>
    <row r="12" spans="2:18" x14ac:dyDescent="0.3">
      <c r="B12" s="34"/>
      <c r="C12" s="3" t="s">
        <v>18</v>
      </c>
      <c r="D12" s="3">
        <f t="shared" si="0"/>
        <v>1025</v>
      </c>
      <c r="E12" s="3">
        <f t="shared" si="1"/>
        <v>992</v>
      </c>
      <c r="F12" s="3">
        <v>458</v>
      </c>
      <c r="G12" s="3">
        <v>534</v>
      </c>
      <c r="H12" s="3">
        <v>17</v>
      </c>
      <c r="I12" s="3">
        <v>16</v>
      </c>
      <c r="J12" s="18">
        <f t="shared" si="2"/>
        <v>46.169354838709673</v>
      </c>
      <c r="K12" s="18">
        <f t="shared" si="3"/>
        <v>1.6848364717542121</v>
      </c>
      <c r="L12" s="4"/>
    </row>
    <row r="13" spans="2:18" ht="14.4" customHeight="1" x14ac:dyDescent="0.3">
      <c r="B13" s="34" t="s">
        <v>20</v>
      </c>
      <c r="C13" s="1" t="s">
        <v>15</v>
      </c>
      <c r="D13" s="1">
        <f t="shared" si="0"/>
        <v>1025</v>
      </c>
      <c r="E13" s="1">
        <f t="shared" si="1"/>
        <v>297</v>
      </c>
      <c r="F13" s="1">
        <v>76</v>
      </c>
      <c r="G13" s="1">
        <v>221</v>
      </c>
      <c r="H13" s="1">
        <v>712</v>
      </c>
      <c r="I13" s="1">
        <v>16</v>
      </c>
      <c r="J13" s="19">
        <f t="shared" si="2"/>
        <v>25.589225589225588</v>
      </c>
      <c r="K13" s="19">
        <f t="shared" si="3"/>
        <v>70.564915758176411</v>
      </c>
      <c r="L13" s="4"/>
    </row>
    <row r="14" spans="2:18" x14ac:dyDescent="0.3">
      <c r="B14" s="34"/>
      <c r="C14" s="1" t="s">
        <v>16</v>
      </c>
      <c r="D14" s="1">
        <f t="shared" si="0"/>
        <v>1025</v>
      </c>
      <c r="E14" s="1">
        <f t="shared" si="1"/>
        <v>479</v>
      </c>
      <c r="F14" s="1">
        <v>119</v>
      </c>
      <c r="G14" s="1">
        <v>360</v>
      </c>
      <c r="H14" s="1">
        <v>530</v>
      </c>
      <c r="I14" s="1">
        <v>16</v>
      </c>
      <c r="J14" s="19">
        <f t="shared" si="2"/>
        <v>24.843423799582464</v>
      </c>
      <c r="K14" s="19">
        <f t="shared" si="3"/>
        <v>52.527254707631322</v>
      </c>
      <c r="L14" s="4"/>
    </row>
    <row r="15" spans="2:18" x14ac:dyDescent="0.3">
      <c r="B15" s="34"/>
      <c r="C15" s="1" t="s">
        <v>18</v>
      </c>
      <c r="D15" s="1">
        <f t="shared" si="0"/>
        <v>1025</v>
      </c>
      <c r="E15" s="1">
        <f t="shared" si="1"/>
        <v>99</v>
      </c>
      <c r="F15" s="1">
        <v>34</v>
      </c>
      <c r="G15" s="1">
        <v>65</v>
      </c>
      <c r="H15" s="1">
        <v>910</v>
      </c>
      <c r="I15" s="1">
        <v>16</v>
      </c>
      <c r="J15" s="19">
        <f t="shared" si="2"/>
        <v>34.343434343434339</v>
      </c>
      <c r="K15" s="19">
        <f t="shared" si="3"/>
        <v>90.18830525272547</v>
      </c>
      <c r="L15" s="4"/>
      <c r="M15" s="37" t="s">
        <v>24</v>
      </c>
      <c r="N15" s="38"/>
      <c r="O15" s="38"/>
      <c r="P15" s="38"/>
      <c r="Q15" s="38"/>
      <c r="R15" s="39"/>
    </row>
    <row r="16" spans="2:18" x14ac:dyDescent="0.3">
      <c r="B16" s="34" t="s">
        <v>21</v>
      </c>
      <c r="C16" s="3" t="s">
        <v>15</v>
      </c>
      <c r="D16" s="3">
        <f t="shared" si="0"/>
        <v>1025</v>
      </c>
      <c r="E16" s="3">
        <f t="shared" si="1"/>
        <v>1001</v>
      </c>
      <c r="F16" s="3">
        <v>310</v>
      </c>
      <c r="G16" s="3">
        <v>691</v>
      </c>
      <c r="H16" s="3">
        <v>8</v>
      </c>
      <c r="I16" s="3">
        <v>16</v>
      </c>
      <c r="J16" s="18">
        <f t="shared" si="2"/>
        <v>30.969030969030971</v>
      </c>
      <c r="K16" s="18">
        <f t="shared" si="3"/>
        <v>0.79286422200198214</v>
      </c>
      <c r="L16" s="4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34"/>
      <c r="C17" s="3" t="s">
        <v>16</v>
      </c>
      <c r="D17" s="3">
        <f t="shared" si="0"/>
        <v>1025</v>
      </c>
      <c r="E17" s="3">
        <f t="shared" si="1"/>
        <v>932</v>
      </c>
      <c r="F17" s="3">
        <v>310</v>
      </c>
      <c r="G17" s="3">
        <v>622</v>
      </c>
      <c r="H17" s="3">
        <v>77</v>
      </c>
      <c r="I17" s="3">
        <v>16</v>
      </c>
      <c r="J17" s="18">
        <f t="shared" si="2"/>
        <v>33.261802575107296</v>
      </c>
      <c r="K17" s="18">
        <f t="shared" si="3"/>
        <v>7.631318136769079</v>
      </c>
      <c r="L17" s="4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34"/>
      <c r="C18" s="24" t="s">
        <v>18</v>
      </c>
      <c r="D18" s="24"/>
      <c r="E18" s="24"/>
      <c r="F18" s="24"/>
      <c r="G18" s="24"/>
      <c r="H18" s="24"/>
      <c r="I18" s="24"/>
      <c r="J18" s="25"/>
      <c r="K18" s="25"/>
      <c r="L18" s="4"/>
      <c r="M18" s="1" t="s">
        <v>14</v>
      </c>
      <c r="N18" s="11">
        <v>50</v>
      </c>
      <c r="O18" s="1" t="s">
        <v>14</v>
      </c>
      <c r="P18" s="11">
        <v>51.804878048780488</v>
      </c>
      <c r="Q18" s="1" t="s">
        <v>14</v>
      </c>
      <c r="R18" s="11">
        <v>50.341463414634148</v>
      </c>
    </row>
    <row r="19" spans="2:18" x14ac:dyDescent="0.3">
      <c r="B19" s="34" t="s">
        <v>22</v>
      </c>
      <c r="C19" s="1" t="s">
        <v>15</v>
      </c>
      <c r="D19" s="1">
        <f t="shared" si="0"/>
        <v>1025</v>
      </c>
      <c r="E19" s="1">
        <f t="shared" si="1"/>
        <v>366</v>
      </c>
      <c r="F19" s="1">
        <v>142</v>
      </c>
      <c r="G19" s="1">
        <v>224</v>
      </c>
      <c r="H19" s="1">
        <v>643</v>
      </c>
      <c r="I19" s="1">
        <v>16</v>
      </c>
      <c r="J19" s="19">
        <f t="shared" si="2"/>
        <v>38.797814207650269</v>
      </c>
      <c r="K19" s="19">
        <f t="shared" si="3"/>
        <v>63.726461843409318</v>
      </c>
      <c r="L19" s="4"/>
      <c r="M19" s="1" t="s">
        <v>19</v>
      </c>
      <c r="N19" s="11">
        <v>45.436507936507937</v>
      </c>
      <c r="O19" s="1" t="s">
        <v>19</v>
      </c>
      <c r="P19" s="11">
        <v>46.048780487804883</v>
      </c>
      <c r="Q19" s="1" t="s">
        <v>19</v>
      </c>
      <c r="R19" s="11">
        <v>45.329400196656835</v>
      </c>
    </row>
    <row r="20" spans="2:18" x14ac:dyDescent="0.3">
      <c r="B20" s="34"/>
      <c r="C20" s="1" t="s">
        <v>16</v>
      </c>
      <c r="D20" s="1">
        <f t="shared" si="0"/>
        <v>1025</v>
      </c>
      <c r="E20" s="1">
        <f t="shared" si="1"/>
        <v>962</v>
      </c>
      <c r="F20" s="1">
        <v>450</v>
      </c>
      <c r="G20" s="1">
        <v>512</v>
      </c>
      <c r="H20" s="1">
        <v>47</v>
      </c>
      <c r="I20" s="1">
        <v>16</v>
      </c>
      <c r="J20" s="19">
        <f t="shared" si="2"/>
        <v>46.777546777546782</v>
      </c>
      <c r="K20" s="19">
        <f t="shared" si="3"/>
        <v>4.6580773042616448</v>
      </c>
      <c r="L20" s="4"/>
      <c r="M20" s="1" t="s">
        <v>17</v>
      </c>
      <c r="N20" s="11">
        <v>37.79220779220779</v>
      </c>
      <c r="O20" s="1" t="s">
        <v>22</v>
      </c>
      <c r="P20" s="11">
        <v>46.012269938650306</v>
      </c>
      <c r="Q20" s="1" t="s">
        <v>17</v>
      </c>
      <c r="R20" s="11">
        <v>44.662095984329085</v>
      </c>
    </row>
    <row r="21" spans="2:18" x14ac:dyDescent="0.3">
      <c r="B21" s="34"/>
      <c r="C21" s="1" t="s">
        <v>18</v>
      </c>
      <c r="D21" s="1">
        <f t="shared" si="0"/>
        <v>1025</v>
      </c>
      <c r="E21" s="1">
        <f t="shared" si="1"/>
        <v>238</v>
      </c>
      <c r="F21" s="1">
        <v>80</v>
      </c>
      <c r="G21" s="1">
        <v>158</v>
      </c>
      <c r="H21" s="1">
        <v>771</v>
      </c>
      <c r="I21" s="1">
        <v>16</v>
      </c>
      <c r="J21" s="19">
        <f t="shared" si="2"/>
        <v>33.613445378151262</v>
      </c>
      <c r="K21" s="19">
        <f t="shared" si="3"/>
        <v>76.412289395441036</v>
      </c>
      <c r="L21" s="4"/>
      <c r="M21" s="1" t="s">
        <v>22</v>
      </c>
      <c r="N21" s="11">
        <v>31.496062992125985</v>
      </c>
      <c r="O21" s="1" t="s">
        <v>23</v>
      </c>
      <c r="P21" s="11">
        <v>45.69471624266145</v>
      </c>
      <c r="Q21" s="1" t="s">
        <v>22</v>
      </c>
      <c r="R21" s="11">
        <v>37.172774869109951</v>
      </c>
    </row>
    <row r="22" spans="2:18" x14ac:dyDescent="0.3">
      <c r="B22" s="34" t="s">
        <v>23</v>
      </c>
      <c r="C22" s="3" t="s">
        <v>15</v>
      </c>
      <c r="D22" s="3">
        <f t="shared" si="0"/>
        <v>1025</v>
      </c>
      <c r="E22" s="3">
        <f t="shared" si="1"/>
        <v>207</v>
      </c>
      <c r="F22" s="3">
        <v>50</v>
      </c>
      <c r="G22" s="3">
        <v>157</v>
      </c>
      <c r="H22" s="3">
        <v>802</v>
      </c>
      <c r="I22" s="3">
        <v>16</v>
      </c>
      <c r="J22" s="18">
        <f t="shared" si="2"/>
        <v>24.154589371980677</v>
      </c>
      <c r="K22" s="18">
        <f t="shared" si="3"/>
        <v>79.484638255698712</v>
      </c>
      <c r="L22" s="4"/>
      <c r="M22" s="1" t="s">
        <v>20</v>
      </c>
      <c r="N22" s="11">
        <v>29.565217391304348</v>
      </c>
      <c r="O22" s="1" t="s">
        <v>17</v>
      </c>
      <c r="P22" s="11">
        <v>44.773175542406314</v>
      </c>
      <c r="Q22" s="1" t="s">
        <v>21</v>
      </c>
      <c r="R22" s="11">
        <v>30.48180924287119</v>
      </c>
    </row>
    <row r="23" spans="2:18" x14ac:dyDescent="0.3">
      <c r="B23" s="34"/>
      <c r="C23" s="3" t="s">
        <v>16</v>
      </c>
      <c r="D23" s="3">
        <f t="shared" si="0"/>
        <v>1025</v>
      </c>
      <c r="E23" s="3">
        <f t="shared" si="1"/>
        <v>1006</v>
      </c>
      <c r="F23" s="3">
        <v>467</v>
      </c>
      <c r="G23" s="3">
        <v>539</v>
      </c>
      <c r="H23" s="3">
        <v>3</v>
      </c>
      <c r="I23" s="3">
        <v>16</v>
      </c>
      <c r="J23" s="18">
        <f t="shared" si="2"/>
        <v>46.421471172962228</v>
      </c>
      <c r="K23" s="18">
        <f t="shared" si="3"/>
        <v>0.29732408325074333</v>
      </c>
      <c r="L23" s="4"/>
      <c r="O23" s="1" t="s">
        <v>21</v>
      </c>
      <c r="P23" s="11">
        <v>32.700421940928273</v>
      </c>
      <c r="Q23" s="1" t="s">
        <v>20</v>
      </c>
      <c r="R23" s="11">
        <v>24.281150159744406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4"/>
      <c r="J24" s="25"/>
      <c r="K24" s="25"/>
      <c r="L24" s="4"/>
      <c r="O24" s="1" t="s">
        <v>20</v>
      </c>
      <c r="P24" s="11">
        <v>24.040404040404042</v>
      </c>
      <c r="Q24" s="1" t="s">
        <v>23</v>
      </c>
      <c r="R24" s="11">
        <v>22.421524663677133</v>
      </c>
    </row>
    <row r="25" spans="2:18" x14ac:dyDescent="0.3">
      <c r="L25" s="4"/>
    </row>
    <row r="26" spans="2:18" x14ac:dyDescent="0.3">
      <c r="L26" s="4"/>
    </row>
    <row r="27" spans="2:18" x14ac:dyDescent="0.3">
      <c r="B27" s="30" t="s">
        <v>27</v>
      </c>
      <c r="C27" s="30"/>
      <c r="D27" s="30"/>
      <c r="E27" s="30"/>
      <c r="G27" t="s">
        <v>36</v>
      </c>
      <c r="H27" s="58" t="s">
        <v>55</v>
      </c>
      <c r="I27" s="12" t="s">
        <v>15</v>
      </c>
      <c r="J27" s="7">
        <f>(J4+J7+J10+J13+J19)/5</f>
        <v>41.390772499661594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  <c r="H28" s="58"/>
      <c r="I28" s="12" t="s">
        <v>16</v>
      </c>
      <c r="J28" s="7">
        <f>(J5+J8+J11+J14+J20)/5</f>
        <v>43.303460874911124</v>
      </c>
    </row>
    <row r="29" spans="2:18" x14ac:dyDescent="0.3">
      <c r="B29" s="15" t="s">
        <v>31</v>
      </c>
      <c r="C29" s="12">
        <v>1025</v>
      </c>
      <c r="D29" s="12">
        <v>16</v>
      </c>
      <c r="E29" s="12">
        <f>C29-D29</f>
        <v>1009</v>
      </c>
      <c r="H29" s="58"/>
      <c r="I29" s="12" t="s">
        <v>18</v>
      </c>
      <c r="J29" s="7">
        <f>(J6+J9+J12+J15+J21)/5</f>
        <v>40.704079803305738</v>
      </c>
    </row>
    <row r="30" spans="2:18" x14ac:dyDescent="0.3">
      <c r="B30" s="15" t="s">
        <v>32</v>
      </c>
      <c r="C30" s="12">
        <v>0</v>
      </c>
      <c r="D30" s="12"/>
      <c r="E30" s="12"/>
    </row>
    <row r="31" spans="2:18" x14ac:dyDescent="0.3">
      <c r="B31" s="15" t="s">
        <v>33</v>
      </c>
      <c r="C31" s="12">
        <f>SUM(C29:C30)</f>
        <v>1025</v>
      </c>
      <c r="D31" s="12"/>
      <c r="E31" s="12">
        <f t="shared" ref="E31" si="4">SUM(E29:E30)</f>
        <v>1009</v>
      </c>
    </row>
  </sheetData>
  <mergeCells count="16">
    <mergeCell ref="B19:B21"/>
    <mergeCell ref="B27:E27"/>
    <mergeCell ref="B13:B15"/>
    <mergeCell ref="M15:R15"/>
    <mergeCell ref="M16:N16"/>
    <mergeCell ref="O16:P16"/>
    <mergeCell ref="Q16:R16"/>
    <mergeCell ref="B16:B18"/>
    <mergeCell ref="B22:B24"/>
    <mergeCell ref="H27:H29"/>
    <mergeCell ref="B10:B12"/>
    <mergeCell ref="M2:R2"/>
    <mergeCell ref="B3:C3"/>
    <mergeCell ref="B4:B6"/>
    <mergeCell ref="B7:B9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936-F454-477A-A69F-0158758565C9}">
  <sheetPr>
    <tabColor theme="8" tint="0.59999389629810485"/>
  </sheetPr>
  <dimension ref="B2:R31"/>
  <sheetViews>
    <sheetView zoomScale="75" zoomScaleNormal="75" workbookViewId="0">
      <selection activeCell="M23" sqref="M23"/>
    </sheetView>
  </sheetViews>
  <sheetFormatPr baseColWidth="10" defaultColWidth="8.88671875" defaultRowHeight="14.4" x14ac:dyDescent="0.3"/>
  <cols>
    <col min="2" max="2" width="14" bestFit="1" customWidth="1"/>
    <col min="3" max="4" width="14" customWidth="1"/>
    <col min="5" max="12" width="11.6640625" customWidth="1"/>
    <col min="13" max="18" width="14.5546875" customWidth="1"/>
  </cols>
  <sheetData>
    <row r="2" spans="2:18" x14ac:dyDescent="0.3">
      <c r="B2" s="55" t="s">
        <v>47</v>
      </c>
      <c r="C2" s="55"/>
      <c r="D2" s="55"/>
      <c r="E2" s="55"/>
      <c r="F2" s="55"/>
      <c r="G2" s="55"/>
      <c r="H2" s="55"/>
      <c r="I2" s="55"/>
      <c r="J2" s="55"/>
      <c r="K2" s="55"/>
      <c r="M2" s="33" t="s">
        <v>1</v>
      </c>
      <c r="N2" s="33"/>
      <c r="O2" s="33"/>
      <c r="P2" s="33"/>
      <c r="Q2" s="33"/>
      <c r="R2" s="33"/>
    </row>
    <row r="3" spans="2:18" ht="43.2" x14ac:dyDescent="0.3">
      <c r="B3" s="56" t="s">
        <v>2</v>
      </c>
      <c r="C3" s="56"/>
      <c r="D3" s="57" t="s">
        <v>51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50</v>
      </c>
      <c r="J3" s="6" t="s">
        <v>7</v>
      </c>
      <c r="K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E4+H4+I4</f>
        <v>1025</v>
      </c>
      <c r="E4" s="3">
        <f>F4+G4</f>
        <v>993</v>
      </c>
      <c r="F4" s="3">
        <v>490</v>
      </c>
      <c r="G4" s="3">
        <v>503</v>
      </c>
      <c r="H4" s="3">
        <v>0</v>
      </c>
      <c r="I4" s="3">
        <v>32</v>
      </c>
      <c r="J4" s="18">
        <f>(F4/E4)*100</f>
        <v>49.345417925478344</v>
      </c>
      <c r="K4" s="18">
        <f>(H4/993)*100</f>
        <v>0</v>
      </c>
      <c r="L4" s="4"/>
      <c r="M4" s="14" t="s">
        <v>14</v>
      </c>
      <c r="N4" s="7">
        <f>J5-J6</f>
        <v>4.4434510964506728</v>
      </c>
      <c r="O4" s="8"/>
      <c r="P4" s="7">
        <f>J4-J5</f>
        <v>-0.30211480362538623</v>
      </c>
      <c r="Q4" s="8"/>
      <c r="R4" s="7">
        <f>J4-J6</f>
        <v>4.1413362928252866</v>
      </c>
    </row>
    <row r="5" spans="2:18" x14ac:dyDescent="0.3">
      <c r="B5" s="34"/>
      <c r="C5" s="3" t="s">
        <v>16</v>
      </c>
      <c r="D5" s="3">
        <f t="shared" ref="D5:D24" si="0">E5+H5+I5</f>
        <v>1025</v>
      </c>
      <c r="E5" s="3">
        <f t="shared" ref="E5:E24" si="1">F5+G5</f>
        <v>993</v>
      </c>
      <c r="F5" s="3">
        <v>493</v>
      </c>
      <c r="G5" s="3">
        <v>500</v>
      </c>
      <c r="H5" s="3">
        <v>0</v>
      </c>
      <c r="I5" s="3">
        <v>32</v>
      </c>
      <c r="J5" s="18">
        <f t="shared" ref="J5:J23" si="2">(F5/E5)*100</f>
        <v>49.64753272910373</v>
      </c>
      <c r="K5" s="18">
        <f t="shared" ref="K5:K24" si="3">(H5/993)*100</f>
        <v>0</v>
      </c>
      <c r="L5" s="4"/>
      <c r="M5" s="14" t="s">
        <v>17</v>
      </c>
      <c r="N5" s="7">
        <f>J8-J9</f>
        <v>12.494411603993846</v>
      </c>
      <c r="O5" s="8"/>
      <c r="P5" s="7">
        <f>J7-J8</f>
        <v>-1.2363820206707601</v>
      </c>
      <c r="Q5" s="8"/>
      <c r="R5" s="7">
        <f>J7-J9</f>
        <v>11.258029583323086</v>
      </c>
    </row>
    <row r="6" spans="2:18" x14ac:dyDescent="0.3">
      <c r="B6" s="34"/>
      <c r="C6" s="3" t="s">
        <v>18</v>
      </c>
      <c r="D6" s="3">
        <f t="shared" si="0"/>
        <v>1025</v>
      </c>
      <c r="E6" s="3">
        <f t="shared" si="1"/>
        <v>980</v>
      </c>
      <c r="F6" s="3">
        <v>443</v>
      </c>
      <c r="G6" s="3">
        <v>537</v>
      </c>
      <c r="H6" s="3">
        <v>13</v>
      </c>
      <c r="I6" s="3">
        <v>32</v>
      </c>
      <c r="J6" s="18">
        <f t="shared" si="2"/>
        <v>45.204081632653057</v>
      </c>
      <c r="K6" s="18">
        <f t="shared" si="3"/>
        <v>1.3091641490433032</v>
      </c>
      <c r="L6" s="4"/>
      <c r="M6" s="14" t="s">
        <v>19</v>
      </c>
      <c r="N6" s="7">
        <f>J11-J12</f>
        <v>-3.6150489322693602E-2</v>
      </c>
      <c r="O6" s="8"/>
      <c r="P6" s="7">
        <f>J10-J11</f>
        <v>0.40281973816716743</v>
      </c>
      <c r="Q6" s="8"/>
      <c r="R6" s="7">
        <f>J10-J12</f>
        <v>0.36666924884447383</v>
      </c>
    </row>
    <row r="7" spans="2:18" x14ac:dyDescent="0.3">
      <c r="B7" s="34" t="s">
        <v>17</v>
      </c>
      <c r="C7" s="1" t="s">
        <v>15</v>
      </c>
      <c r="D7" s="1">
        <f t="shared" si="0"/>
        <v>1025</v>
      </c>
      <c r="E7" s="1">
        <f t="shared" si="1"/>
        <v>991</v>
      </c>
      <c r="F7" s="1">
        <v>456</v>
      </c>
      <c r="G7" s="1">
        <v>535</v>
      </c>
      <c r="H7" s="1">
        <v>2</v>
      </c>
      <c r="I7" s="1">
        <v>32</v>
      </c>
      <c r="J7" s="19">
        <f t="shared" si="2"/>
        <v>46.014127144298691</v>
      </c>
      <c r="K7" s="19">
        <f t="shared" si="3"/>
        <v>0.2014098690835851</v>
      </c>
      <c r="L7" s="4"/>
      <c r="M7" s="14" t="s">
        <v>20</v>
      </c>
      <c r="N7" s="7">
        <f>J14-J15</f>
        <v>-3.3477463312368947</v>
      </c>
      <c r="O7" s="8"/>
      <c r="P7" s="7">
        <f>J13-J14</f>
        <v>-0.96590397551157281</v>
      </c>
      <c r="Q7" s="8"/>
      <c r="R7" s="7">
        <f>J13-J15</f>
        <v>-4.3136503067484675</v>
      </c>
    </row>
    <row r="8" spans="2:18" x14ac:dyDescent="0.3">
      <c r="B8" s="34"/>
      <c r="C8" s="1" t="s">
        <v>16</v>
      </c>
      <c r="D8" s="1">
        <f t="shared" si="0"/>
        <v>1025</v>
      </c>
      <c r="E8" s="1">
        <f t="shared" si="1"/>
        <v>982</v>
      </c>
      <c r="F8" s="1">
        <v>464</v>
      </c>
      <c r="G8" s="1">
        <v>518</v>
      </c>
      <c r="H8" s="1">
        <v>11</v>
      </c>
      <c r="I8" s="1">
        <v>32</v>
      </c>
      <c r="J8" s="19">
        <f t="shared" si="2"/>
        <v>47.250509164969451</v>
      </c>
      <c r="K8" s="19">
        <f t="shared" si="3"/>
        <v>1.1077542799597182</v>
      </c>
      <c r="L8" s="4"/>
      <c r="M8" s="14" t="s">
        <v>21</v>
      </c>
      <c r="N8" s="9"/>
      <c r="O8" s="7">
        <f>J17-J14</f>
        <v>1.5016025746786532</v>
      </c>
      <c r="P8" s="7">
        <f>J16-J17</f>
        <v>-1.361343553086428</v>
      </c>
      <c r="Q8" s="7">
        <f>J16-J13</f>
        <v>1.1061629971037981</v>
      </c>
      <c r="R8" s="7">
        <f>J16-J15</f>
        <v>-3.2074873096446694</v>
      </c>
    </row>
    <row r="9" spans="2:18" x14ac:dyDescent="0.3">
      <c r="B9" s="34"/>
      <c r="C9" s="1" t="s">
        <v>18</v>
      </c>
      <c r="D9" s="1">
        <f t="shared" si="0"/>
        <v>1025</v>
      </c>
      <c r="E9" s="1">
        <f t="shared" si="1"/>
        <v>656</v>
      </c>
      <c r="F9" s="1">
        <v>228</v>
      </c>
      <c r="G9" s="1">
        <v>428</v>
      </c>
      <c r="H9" s="1">
        <v>337</v>
      </c>
      <c r="I9" s="1">
        <v>32</v>
      </c>
      <c r="J9" s="19">
        <f t="shared" si="2"/>
        <v>34.756097560975604</v>
      </c>
      <c r="K9" s="19">
        <f t="shared" si="3"/>
        <v>33.937562940584087</v>
      </c>
      <c r="L9" s="4"/>
      <c r="M9" s="14" t="s">
        <v>22</v>
      </c>
      <c r="N9" s="7">
        <f>J20-J21</f>
        <v>15.447106261859581</v>
      </c>
      <c r="O9" s="8"/>
      <c r="P9" s="7">
        <f>J19-J20</f>
        <v>-11.32103865690349</v>
      </c>
      <c r="Q9" s="8"/>
      <c r="R9" s="7">
        <f>J19-J21</f>
        <v>4.1260676049560914</v>
      </c>
    </row>
    <row r="10" spans="2:18" x14ac:dyDescent="0.3">
      <c r="B10" s="34" t="s">
        <v>19</v>
      </c>
      <c r="C10" s="3" t="s">
        <v>15</v>
      </c>
      <c r="D10" s="3">
        <f t="shared" si="0"/>
        <v>1025</v>
      </c>
      <c r="E10" s="3">
        <f t="shared" si="1"/>
        <v>993</v>
      </c>
      <c r="F10" s="3">
        <v>428</v>
      </c>
      <c r="G10" s="3">
        <v>565</v>
      </c>
      <c r="H10" s="3">
        <v>0</v>
      </c>
      <c r="I10" s="3">
        <v>32</v>
      </c>
      <c r="J10" s="18">
        <f t="shared" si="2"/>
        <v>43.101711983887206</v>
      </c>
      <c r="K10" s="18">
        <f t="shared" si="3"/>
        <v>0</v>
      </c>
      <c r="L10" s="4"/>
      <c r="M10" s="14" t="s">
        <v>23</v>
      </c>
      <c r="N10" s="9"/>
      <c r="O10" s="7">
        <f>J23-J20</f>
        <v>-1.857863918396518</v>
      </c>
      <c r="P10" s="7">
        <f>J22-J23</f>
        <v>-6.9544954214384447</v>
      </c>
      <c r="Q10" s="7">
        <f>J22-J20</f>
        <v>-8.8123593398349627</v>
      </c>
      <c r="R10" s="7">
        <f>J22-J21</f>
        <v>6.6347469220246182</v>
      </c>
    </row>
    <row r="11" spans="2:18" x14ac:dyDescent="0.3">
      <c r="B11" s="34"/>
      <c r="C11" s="3" t="s">
        <v>16</v>
      </c>
      <c r="D11" s="3">
        <f t="shared" si="0"/>
        <v>1025</v>
      </c>
      <c r="E11" s="3">
        <f t="shared" si="1"/>
        <v>993</v>
      </c>
      <c r="F11" s="3">
        <v>424</v>
      </c>
      <c r="G11" s="3">
        <v>569</v>
      </c>
      <c r="H11" s="3">
        <v>0</v>
      </c>
      <c r="I11" s="3">
        <v>32</v>
      </c>
      <c r="J11" s="18">
        <f t="shared" si="2"/>
        <v>42.698892245720039</v>
      </c>
      <c r="K11" s="18">
        <f t="shared" si="3"/>
        <v>0</v>
      </c>
      <c r="L11" s="4"/>
    </row>
    <row r="12" spans="2:18" x14ac:dyDescent="0.3">
      <c r="B12" s="34"/>
      <c r="C12" s="3" t="s">
        <v>18</v>
      </c>
      <c r="D12" s="3">
        <f t="shared" si="0"/>
        <v>1025</v>
      </c>
      <c r="E12" s="3">
        <f t="shared" si="1"/>
        <v>936</v>
      </c>
      <c r="F12" s="3">
        <v>400</v>
      </c>
      <c r="G12" s="3">
        <v>536</v>
      </c>
      <c r="H12" s="3">
        <v>57</v>
      </c>
      <c r="I12" s="3">
        <v>32</v>
      </c>
      <c r="J12" s="18">
        <f t="shared" si="2"/>
        <v>42.735042735042732</v>
      </c>
      <c r="K12" s="18">
        <f t="shared" si="3"/>
        <v>5.7401812688821749</v>
      </c>
      <c r="L12" s="4"/>
    </row>
    <row r="13" spans="2:18" ht="14.4" customHeight="1" x14ac:dyDescent="0.3">
      <c r="B13" s="34" t="s">
        <v>20</v>
      </c>
      <c r="C13" s="1" t="s">
        <v>15</v>
      </c>
      <c r="D13" s="1">
        <f t="shared" si="0"/>
        <v>1025</v>
      </c>
      <c r="E13" s="1">
        <f t="shared" si="1"/>
        <v>326</v>
      </c>
      <c r="F13" s="1">
        <v>98</v>
      </c>
      <c r="G13" s="1">
        <v>228</v>
      </c>
      <c r="H13" s="1">
        <v>667</v>
      </c>
      <c r="I13" s="1">
        <v>32</v>
      </c>
      <c r="J13" s="19">
        <f t="shared" si="2"/>
        <v>30.061349693251532</v>
      </c>
      <c r="K13" s="19">
        <f t="shared" si="3"/>
        <v>67.170191339375634</v>
      </c>
      <c r="L13" s="4"/>
    </row>
    <row r="14" spans="2:18" x14ac:dyDescent="0.3">
      <c r="B14" s="34"/>
      <c r="C14" s="1" t="s">
        <v>16</v>
      </c>
      <c r="D14" s="1">
        <f t="shared" si="0"/>
        <v>1025</v>
      </c>
      <c r="E14" s="1">
        <f t="shared" si="1"/>
        <v>477</v>
      </c>
      <c r="F14" s="1">
        <v>148</v>
      </c>
      <c r="G14" s="1">
        <v>329</v>
      </c>
      <c r="H14" s="1">
        <v>516</v>
      </c>
      <c r="I14" s="1">
        <v>32</v>
      </c>
      <c r="J14" s="19">
        <f t="shared" si="2"/>
        <v>31.027253668763105</v>
      </c>
      <c r="K14" s="19">
        <f t="shared" si="3"/>
        <v>51.963746223564954</v>
      </c>
      <c r="L14" s="4"/>
    </row>
    <row r="15" spans="2:18" x14ac:dyDescent="0.3">
      <c r="B15" s="34"/>
      <c r="C15" s="1" t="s">
        <v>18</v>
      </c>
      <c r="D15" s="1">
        <f t="shared" si="0"/>
        <v>1025</v>
      </c>
      <c r="E15" s="1">
        <f t="shared" si="1"/>
        <v>96</v>
      </c>
      <c r="F15" s="1">
        <v>33</v>
      </c>
      <c r="G15" s="1">
        <v>63</v>
      </c>
      <c r="H15" s="1">
        <v>897</v>
      </c>
      <c r="I15" s="1">
        <v>32</v>
      </c>
      <c r="J15" s="19">
        <f t="shared" si="2"/>
        <v>34.375</v>
      </c>
      <c r="K15" s="19">
        <f t="shared" si="3"/>
        <v>90.332326283987925</v>
      </c>
      <c r="L15" s="4"/>
      <c r="M15" s="37" t="s">
        <v>24</v>
      </c>
      <c r="N15" s="38"/>
      <c r="O15" s="38"/>
      <c r="P15" s="38"/>
      <c r="Q15" s="38"/>
      <c r="R15" s="39"/>
    </row>
    <row r="16" spans="2:18" x14ac:dyDescent="0.3">
      <c r="B16" s="34" t="s">
        <v>21</v>
      </c>
      <c r="C16" s="3" t="s">
        <v>15</v>
      </c>
      <c r="D16" s="3">
        <f t="shared" si="0"/>
        <v>1025</v>
      </c>
      <c r="E16" s="3">
        <f t="shared" si="1"/>
        <v>985</v>
      </c>
      <c r="F16" s="3">
        <v>307</v>
      </c>
      <c r="G16" s="3">
        <v>678</v>
      </c>
      <c r="H16" s="3">
        <v>8</v>
      </c>
      <c r="I16" s="3">
        <v>32</v>
      </c>
      <c r="J16" s="18">
        <f t="shared" si="2"/>
        <v>31.167512690355331</v>
      </c>
      <c r="K16" s="18">
        <f t="shared" si="3"/>
        <v>0.80563947633434041</v>
      </c>
      <c r="L16" s="4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34"/>
      <c r="C17" s="3" t="s">
        <v>16</v>
      </c>
      <c r="D17" s="3">
        <f t="shared" si="0"/>
        <v>1025</v>
      </c>
      <c r="E17" s="3">
        <f t="shared" si="1"/>
        <v>953</v>
      </c>
      <c r="F17" s="3">
        <v>310</v>
      </c>
      <c r="G17" s="3">
        <v>643</v>
      </c>
      <c r="H17" s="3">
        <v>40</v>
      </c>
      <c r="I17" s="3">
        <v>32</v>
      </c>
      <c r="J17" s="18">
        <f t="shared" si="2"/>
        <v>32.528856243441759</v>
      </c>
      <c r="K17" s="18">
        <f t="shared" si="3"/>
        <v>4.0281973816717018</v>
      </c>
      <c r="L17" s="4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34"/>
      <c r="C18" s="24" t="s">
        <v>18</v>
      </c>
      <c r="D18" s="24"/>
      <c r="E18" s="24"/>
      <c r="F18" s="24"/>
      <c r="G18" s="24"/>
      <c r="H18" s="24"/>
      <c r="I18" s="24"/>
      <c r="J18" s="25"/>
      <c r="K18" s="25"/>
      <c r="L18" s="4"/>
      <c r="M18" s="1" t="s">
        <v>14</v>
      </c>
      <c r="N18" s="11">
        <v>43.774703557312257</v>
      </c>
      <c r="O18" s="1" t="s">
        <v>14</v>
      </c>
      <c r="P18" s="11">
        <v>48.097560975609753</v>
      </c>
      <c r="Q18" s="1" t="s">
        <v>14</v>
      </c>
      <c r="R18" s="11">
        <v>47.804878048780488</v>
      </c>
    </row>
    <row r="19" spans="2:18" x14ac:dyDescent="0.3">
      <c r="B19" s="34" t="s">
        <v>22</v>
      </c>
      <c r="C19" s="1" t="s">
        <v>15</v>
      </c>
      <c r="D19" s="1">
        <f t="shared" si="0"/>
        <v>1025</v>
      </c>
      <c r="E19" s="1">
        <f t="shared" si="1"/>
        <v>489</v>
      </c>
      <c r="F19" s="1">
        <v>164</v>
      </c>
      <c r="G19" s="1">
        <v>325</v>
      </c>
      <c r="H19" s="1">
        <v>504</v>
      </c>
      <c r="I19" s="1">
        <v>32</v>
      </c>
      <c r="J19" s="19">
        <f t="shared" si="2"/>
        <v>33.537832310838446</v>
      </c>
      <c r="K19" s="19">
        <f t="shared" si="3"/>
        <v>50.755287009063444</v>
      </c>
      <c r="L19" s="4"/>
      <c r="M19" s="1" t="s">
        <v>19</v>
      </c>
      <c r="N19" s="11">
        <v>41.32231404958678</v>
      </c>
      <c r="O19" s="1" t="s">
        <v>17</v>
      </c>
      <c r="P19" s="11">
        <v>45.759368836291912</v>
      </c>
      <c r="Q19" s="1" t="s">
        <v>17</v>
      </c>
      <c r="R19" s="11">
        <v>44.574780058651022</v>
      </c>
    </row>
    <row r="20" spans="2:18" x14ac:dyDescent="0.3">
      <c r="B20" s="34"/>
      <c r="C20" s="1" t="s">
        <v>16</v>
      </c>
      <c r="D20" s="1">
        <f t="shared" si="0"/>
        <v>1025</v>
      </c>
      <c r="E20" s="1">
        <f t="shared" si="1"/>
        <v>992</v>
      </c>
      <c r="F20" s="1">
        <v>445</v>
      </c>
      <c r="G20" s="1">
        <v>547</v>
      </c>
      <c r="H20" s="1">
        <v>1</v>
      </c>
      <c r="I20" s="1">
        <v>32</v>
      </c>
      <c r="J20" s="19">
        <f t="shared" si="2"/>
        <v>44.858870967741936</v>
      </c>
      <c r="K20" s="19">
        <f t="shared" si="3"/>
        <v>0.10070493454179255</v>
      </c>
      <c r="L20" s="4"/>
      <c r="M20" s="1" t="s">
        <v>17</v>
      </c>
      <c r="N20" s="11">
        <v>33.139534883720927</v>
      </c>
      <c r="O20" s="1" t="s">
        <v>22</v>
      </c>
      <c r="P20" s="11">
        <v>43.45703125</v>
      </c>
      <c r="Q20" s="1" t="s">
        <v>19</v>
      </c>
      <c r="R20" s="11">
        <v>41.756097560975611</v>
      </c>
    </row>
    <row r="21" spans="2:18" x14ac:dyDescent="0.3">
      <c r="B21" s="34"/>
      <c r="C21" s="1" t="s">
        <v>18</v>
      </c>
      <c r="D21" s="1">
        <f t="shared" si="0"/>
        <v>1025</v>
      </c>
      <c r="E21" s="1">
        <f t="shared" si="1"/>
        <v>187</v>
      </c>
      <c r="F21" s="1">
        <v>55</v>
      </c>
      <c r="G21" s="1">
        <v>132</v>
      </c>
      <c r="H21" s="1">
        <v>806</v>
      </c>
      <c r="I21" s="1">
        <v>32</v>
      </c>
      <c r="J21" s="19">
        <f t="shared" si="2"/>
        <v>29.411764705882355</v>
      </c>
      <c r="K21" s="19">
        <f t="shared" si="3"/>
        <v>81.168177240684798</v>
      </c>
      <c r="L21" s="4"/>
      <c r="M21" s="1" t="s">
        <v>20</v>
      </c>
      <c r="N21" s="11">
        <v>25.78125</v>
      </c>
      <c r="O21" s="1" t="s">
        <v>23</v>
      </c>
      <c r="P21" s="11">
        <v>41.658536585365852</v>
      </c>
      <c r="Q21" s="1" t="s">
        <v>22</v>
      </c>
      <c r="R21" s="11">
        <v>31.477927063339735</v>
      </c>
    </row>
    <row r="22" spans="2:18" x14ac:dyDescent="0.3">
      <c r="B22" s="34" t="s">
        <v>23</v>
      </c>
      <c r="C22" s="3" t="s">
        <v>15</v>
      </c>
      <c r="D22" s="3">
        <f t="shared" si="0"/>
        <v>1025</v>
      </c>
      <c r="E22" s="3">
        <f t="shared" si="1"/>
        <v>172</v>
      </c>
      <c r="F22" s="3">
        <v>62</v>
      </c>
      <c r="G22" s="3">
        <v>110</v>
      </c>
      <c r="H22" s="3">
        <v>821</v>
      </c>
      <c r="I22" s="3">
        <v>32</v>
      </c>
      <c r="J22" s="18">
        <f t="shared" si="2"/>
        <v>36.046511627906973</v>
      </c>
      <c r="K22" s="18">
        <f t="shared" si="3"/>
        <v>82.678751258811673</v>
      </c>
      <c r="L22" s="4"/>
      <c r="M22" s="1" t="s">
        <v>22</v>
      </c>
      <c r="N22" s="11">
        <v>25.11415525114155</v>
      </c>
      <c r="O22" s="1" t="s">
        <v>19</v>
      </c>
      <c r="P22" s="11">
        <v>41.365853658536587</v>
      </c>
      <c r="Q22" s="1" t="s">
        <v>23</v>
      </c>
      <c r="R22" s="11">
        <v>30.392156862745097</v>
      </c>
    </row>
    <row r="23" spans="2:18" x14ac:dyDescent="0.3">
      <c r="B23" s="34"/>
      <c r="C23" s="3" t="s">
        <v>16</v>
      </c>
      <c r="D23" s="3">
        <f t="shared" si="0"/>
        <v>1025</v>
      </c>
      <c r="E23" s="3">
        <f t="shared" si="1"/>
        <v>993</v>
      </c>
      <c r="F23" s="3">
        <v>427</v>
      </c>
      <c r="G23" s="3">
        <v>566</v>
      </c>
      <c r="H23" s="3">
        <v>0</v>
      </c>
      <c r="I23" s="3">
        <v>32</v>
      </c>
      <c r="J23" s="18">
        <f t="shared" si="2"/>
        <v>43.001007049345418</v>
      </c>
      <c r="K23" s="18">
        <f t="shared" si="3"/>
        <v>0</v>
      </c>
      <c r="L23" s="4"/>
      <c r="O23" s="1" t="s">
        <v>21</v>
      </c>
      <c r="P23" s="11">
        <v>31.472081218274113</v>
      </c>
      <c r="Q23" s="1" t="s">
        <v>21</v>
      </c>
      <c r="R23" s="11">
        <v>30.186823992133725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4"/>
      <c r="J24" s="25"/>
      <c r="K24" s="25"/>
      <c r="L24" s="4"/>
      <c r="O24" s="1" t="s">
        <v>20</v>
      </c>
      <c r="P24" s="11">
        <v>29.076620825147348</v>
      </c>
      <c r="Q24" s="1" t="s">
        <v>20</v>
      </c>
      <c r="R24" s="11">
        <v>27.374301675977652</v>
      </c>
    </row>
    <row r="25" spans="2:18" x14ac:dyDescent="0.3">
      <c r="L25" s="4"/>
    </row>
    <row r="26" spans="2:18" x14ac:dyDescent="0.3">
      <c r="L26" s="4"/>
    </row>
    <row r="27" spans="2:18" x14ac:dyDescent="0.3">
      <c r="B27" s="30" t="s">
        <v>27</v>
      </c>
      <c r="C27" s="30"/>
      <c r="D27" s="30"/>
      <c r="E27" s="30"/>
      <c r="G27" t="s">
        <v>36</v>
      </c>
      <c r="H27" s="58" t="s">
        <v>55</v>
      </c>
      <c r="I27" s="12" t="s">
        <v>15</v>
      </c>
      <c r="J27" s="7">
        <f>(J4+J7+J10+J13+J19)/5</f>
        <v>40.412087811550848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  <c r="H28" s="58"/>
      <c r="I28" s="12" t="s">
        <v>16</v>
      </c>
      <c r="J28" s="7">
        <f>(J5+J8+J11+J14+J20)/5</f>
        <v>43.096611755259651</v>
      </c>
    </row>
    <row r="29" spans="2:18" x14ac:dyDescent="0.3">
      <c r="B29" s="15" t="s">
        <v>31</v>
      </c>
      <c r="C29" s="12">
        <v>1025</v>
      </c>
      <c r="D29" s="12">
        <v>32</v>
      </c>
      <c r="E29" s="12">
        <f>C29-D29</f>
        <v>993</v>
      </c>
      <c r="H29" s="58"/>
      <c r="I29" s="12" t="s">
        <v>18</v>
      </c>
      <c r="J29" s="7">
        <f>(J6+J9+J12+J15+J21)/5</f>
        <v>37.29639732691075</v>
      </c>
    </row>
    <row r="30" spans="2:18" x14ac:dyDescent="0.3">
      <c r="B30" s="15" t="s">
        <v>32</v>
      </c>
      <c r="C30" s="12">
        <v>0</v>
      </c>
      <c r="D30" s="12"/>
      <c r="E30" s="12"/>
    </row>
    <row r="31" spans="2:18" x14ac:dyDescent="0.3">
      <c r="B31" s="15" t="s">
        <v>33</v>
      </c>
      <c r="C31" s="12">
        <f>SUM(C29:C30)</f>
        <v>1025</v>
      </c>
      <c r="D31" s="12"/>
      <c r="E31" s="12">
        <f t="shared" ref="E31" si="4">SUM(E29:E30)</f>
        <v>993</v>
      </c>
    </row>
  </sheetData>
  <mergeCells count="16">
    <mergeCell ref="B19:B21"/>
    <mergeCell ref="B27:E27"/>
    <mergeCell ref="B13:B15"/>
    <mergeCell ref="M15:R15"/>
    <mergeCell ref="M16:N16"/>
    <mergeCell ref="O16:P16"/>
    <mergeCell ref="Q16:R16"/>
    <mergeCell ref="B16:B18"/>
    <mergeCell ref="B22:B24"/>
    <mergeCell ref="H27:H29"/>
    <mergeCell ref="B10:B12"/>
    <mergeCell ref="M2:R2"/>
    <mergeCell ref="B3:C3"/>
    <mergeCell ref="B4:B6"/>
    <mergeCell ref="B7:B9"/>
    <mergeCell ref="B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F29-19C2-43B2-9246-72AC7E4A6649}">
  <sheetPr>
    <tabColor theme="8" tint="0.59999389629810485"/>
  </sheetPr>
  <dimension ref="B2:R31"/>
  <sheetViews>
    <sheetView zoomScale="75" zoomScaleNormal="75" workbookViewId="0">
      <selection activeCell="D24" sqref="D24:K24"/>
    </sheetView>
  </sheetViews>
  <sheetFormatPr baseColWidth="10" defaultColWidth="8.88671875" defaultRowHeight="14.4" x14ac:dyDescent="0.3"/>
  <cols>
    <col min="2" max="2" width="14" bestFit="1" customWidth="1"/>
    <col min="3" max="4" width="14" customWidth="1"/>
    <col min="5" max="12" width="11.6640625" customWidth="1"/>
    <col min="13" max="18" width="14.5546875" customWidth="1"/>
  </cols>
  <sheetData>
    <row r="2" spans="2:18" x14ac:dyDescent="0.3">
      <c r="B2" s="55" t="s">
        <v>45</v>
      </c>
      <c r="C2" s="55"/>
      <c r="D2" s="55"/>
      <c r="E2" s="55"/>
      <c r="F2" s="55"/>
      <c r="G2" s="55"/>
      <c r="H2" s="55"/>
      <c r="I2" s="55"/>
      <c r="J2" s="55"/>
      <c r="K2" s="55"/>
      <c r="M2" s="33" t="s">
        <v>1</v>
      </c>
      <c r="N2" s="33"/>
      <c r="O2" s="33"/>
      <c r="P2" s="33"/>
      <c r="Q2" s="33"/>
      <c r="R2" s="33"/>
    </row>
    <row r="3" spans="2:18" ht="43.2" x14ac:dyDescent="0.3">
      <c r="B3" s="56" t="s">
        <v>2</v>
      </c>
      <c r="C3" s="56"/>
      <c r="D3" s="57" t="s">
        <v>51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50</v>
      </c>
      <c r="J3" s="6" t="s">
        <v>7</v>
      </c>
      <c r="K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E4+H4+I4</f>
        <v>1025</v>
      </c>
      <c r="E4" s="3">
        <f>F4+G4</f>
        <v>1007</v>
      </c>
      <c r="F4" s="3">
        <v>363</v>
      </c>
      <c r="G4" s="3">
        <v>644</v>
      </c>
      <c r="H4" s="3">
        <v>6</v>
      </c>
      <c r="I4" s="3">
        <v>12</v>
      </c>
      <c r="J4" s="18">
        <f>(F4/E4)*100</f>
        <v>36.047666335650447</v>
      </c>
      <c r="K4" s="18">
        <f>(H4/1013)*100</f>
        <v>0.5923000987166831</v>
      </c>
      <c r="L4" s="4"/>
      <c r="M4" s="14" t="s">
        <v>14</v>
      </c>
      <c r="N4" s="7">
        <f>J5-J6</f>
        <v>2.1146326556522581</v>
      </c>
      <c r="O4" s="8"/>
      <c r="P4" s="7">
        <f>J4-J5</f>
        <v>0.76520845656224168</v>
      </c>
      <c r="Q4" s="8"/>
      <c r="R4" s="7">
        <f>J4-J6</f>
        <v>2.8798411122144998</v>
      </c>
    </row>
    <row r="5" spans="2:18" x14ac:dyDescent="0.3">
      <c r="B5" s="34"/>
      <c r="C5" s="3" t="s">
        <v>16</v>
      </c>
      <c r="D5" s="3">
        <f t="shared" ref="D5:D24" si="0">E5+H5+I5</f>
        <v>1025</v>
      </c>
      <c r="E5" s="3">
        <f t="shared" ref="E5:E23" si="1">F5+G5</f>
        <v>1009</v>
      </c>
      <c r="F5" s="3">
        <v>356</v>
      </c>
      <c r="G5" s="3">
        <v>653</v>
      </c>
      <c r="H5" s="3">
        <v>4</v>
      </c>
      <c r="I5" s="3">
        <v>12</v>
      </c>
      <c r="J5" s="18">
        <f t="shared" ref="J5:J23" si="2">(F5/E5)*100</f>
        <v>35.282457879088206</v>
      </c>
      <c r="K5" s="18">
        <f t="shared" ref="K5:K24" si="3">(H5/1013)*100</f>
        <v>0.3948667324777887</v>
      </c>
      <c r="L5" s="4"/>
      <c r="M5" s="14" t="s">
        <v>17</v>
      </c>
      <c r="N5" s="7">
        <f>J8-J9</f>
        <v>2.3493090770655449</v>
      </c>
      <c r="O5" s="8"/>
      <c r="P5" s="7">
        <f>J7-J8</f>
        <v>0.86991707483446845</v>
      </c>
      <c r="Q5" s="8"/>
      <c r="R5" s="7">
        <f>J7-J9</f>
        <v>3.2192261519000134</v>
      </c>
    </row>
    <row r="6" spans="2:18" x14ac:dyDescent="0.3">
      <c r="B6" s="34"/>
      <c r="C6" s="3" t="s">
        <v>18</v>
      </c>
      <c r="D6" s="3">
        <f t="shared" si="0"/>
        <v>1025</v>
      </c>
      <c r="E6" s="3">
        <f t="shared" si="1"/>
        <v>1007</v>
      </c>
      <c r="F6" s="3">
        <v>334</v>
      </c>
      <c r="G6" s="3">
        <v>673</v>
      </c>
      <c r="H6" s="3">
        <v>6</v>
      </c>
      <c r="I6" s="3">
        <v>12</v>
      </c>
      <c r="J6" s="18">
        <f t="shared" si="2"/>
        <v>33.167825223435948</v>
      </c>
      <c r="K6" s="18">
        <f t="shared" si="3"/>
        <v>0.5923000987166831</v>
      </c>
      <c r="L6" s="4"/>
      <c r="M6" s="14" t="s">
        <v>19</v>
      </c>
      <c r="N6" s="7">
        <f>J11-J12</f>
        <v>2.461943017056285</v>
      </c>
      <c r="O6" s="8"/>
      <c r="P6" s="7">
        <f>J10-J11</f>
        <v>-0.60340313348300612</v>
      </c>
      <c r="Q6" s="8"/>
      <c r="R6" s="7">
        <f>J10-J12</f>
        <v>1.8585398835732789</v>
      </c>
    </row>
    <row r="7" spans="2:18" x14ac:dyDescent="0.3">
      <c r="B7" s="34" t="s">
        <v>17</v>
      </c>
      <c r="C7" s="1" t="s">
        <v>15</v>
      </c>
      <c r="D7" s="1">
        <f t="shared" si="0"/>
        <v>1025</v>
      </c>
      <c r="E7" s="1">
        <f t="shared" si="1"/>
        <v>993</v>
      </c>
      <c r="F7" s="1">
        <v>334</v>
      </c>
      <c r="G7" s="1">
        <v>659</v>
      </c>
      <c r="H7" s="1">
        <v>20</v>
      </c>
      <c r="I7" s="1">
        <v>12</v>
      </c>
      <c r="J7" s="19">
        <f t="shared" si="2"/>
        <v>33.635448136958715</v>
      </c>
      <c r="K7" s="19">
        <f t="shared" si="3"/>
        <v>1.9743336623889436</v>
      </c>
      <c r="L7" s="4"/>
      <c r="M7" s="14" t="s">
        <v>20</v>
      </c>
      <c r="N7" s="7">
        <f>J14-J15</f>
        <v>-1.4528500526394978</v>
      </c>
      <c r="O7" s="8"/>
      <c r="P7" s="7">
        <f>J13-J14</f>
        <v>3.2309985096870371</v>
      </c>
      <c r="Q7" s="8"/>
      <c r="R7" s="7">
        <f>J13-J15</f>
        <v>1.7781484570475392</v>
      </c>
    </row>
    <row r="8" spans="2:18" x14ac:dyDescent="0.3">
      <c r="B8" s="34"/>
      <c r="C8" s="1" t="s">
        <v>16</v>
      </c>
      <c r="D8" s="1">
        <f t="shared" si="0"/>
        <v>1025</v>
      </c>
      <c r="E8" s="1">
        <f t="shared" si="1"/>
        <v>998</v>
      </c>
      <c r="F8" s="1">
        <v>327</v>
      </c>
      <c r="G8" s="1">
        <v>671</v>
      </c>
      <c r="H8" s="1">
        <v>15</v>
      </c>
      <c r="I8" s="1">
        <v>12</v>
      </c>
      <c r="J8" s="19">
        <f t="shared" si="2"/>
        <v>32.765531062124246</v>
      </c>
      <c r="K8" s="19">
        <f t="shared" si="3"/>
        <v>1.4807502467917077</v>
      </c>
      <c r="L8" s="4"/>
      <c r="M8" s="14" t="s">
        <v>21</v>
      </c>
      <c r="N8" s="9"/>
      <c r="O8" s="7">
        <f>J17-J14</f>
        <v>4.1051993981906669</v>
      </c>
      <c r="P8" s="7">
        <f>J16-J17</f>
        <v>-0.61320689823367047</v>
      </c>
      <c r="Q8" s="7">
        <f>J16-J13</f>
        <v>0.2609939902699594</v>
      </c>
      <c r="R8" s="7">
        <f>J16-J15</f>
        <v>2.0391424473174986</v>
      </c>
    </row>
    <row r="9" spans="2:18" x14ac:dyDescent="0.3">
      <c r="B9" s="34"/>
      <c r="C9" s="1" t="s">
        <v>18</v>
      </c>
      <c r="D9" s="1">
        <f t="shared" si="0"/>
        <v>1025</v>
      </c>
      <c r="E9" s="1">
        <f t="shared" si="1"/>
        <v>937</v>
      </c>
      <c r="F9" s="1">
        <v>285</v>
      </c>
      <c r="G9" s="1">
        <v>652</v>
      </c>
      <c r="H9" s="1">
        <v>76</v>
      </c>
      <c r="I9" s="1">
        <v>12</v>
      </c>
      <c r="J9" s="19">
        <f t="shared" si="2"/>
        <v>30.416221985058701</v>
      </c>
      <c r="K9" s="19">
        <f t="shared" si="3"/>
        <v>7.5024679170779862</v>
      </c>
      <c r="L9" s="4"/>
      <c r="M9" s="14" t="s">
        <v>22</v>
      </c>
      <c r="N9" s="7">
        <f>J20-J21</f>
        <v>4.0034002590673587</v>
      </c>
      <c r="O9" s="8"/>
      <c r="P9" s="7">
        <f>J19-J20</f>
        <v>-4.7543524751338389</v>
      </c>
      <c r="Q9" s="8"/>
      <c r="R9" s="7">
        <f>J19-J21</f>
        <v>-0.7509522160664801</v>
      </c>
    </row>
    <row r="10" spans="2:18" x14ac:dyDescent="0.3">
      <c r="B10" s="34" t="s">
        <v>19</v>
      </c>
      <c r="C10" s="3" t="s">
        <v>15</v>
      </c>
      <c r="D10" s="3">
        <f t="shared" si="0"/>
        <v>1025</v>
      </c>
      <c r="E10" s="3">
        <f t="shared" si="1"/>
        <v>986</v>
      </c>
      <c r="F10" s="3">
        <v>351</v>
      </c>
      <c r="G10" s="3">
        <v>635</v>
      </c>
      <c r="H10" s="3">
        <v>27</v>
      </c>
      <c r="I10" s="3">
        <v>12</v>
      </c>
      <c r="J10" s="18">
        <f t="shared" si="2"/>
        <v>35.598377281947265</v>
      </c>
      <c r="K10" s="18">
        <f t="shared" si="3"/>
        <v>2.6653504442250742</v>
      </c>
      <c r="L10" s="4"/>
      <c r="M10" s="14" t="s">
        <v>23</v>
      </c>
      <c r="N10" s="9"/>
      <c r="O10" s="7">
        <f>J23-J20</f>
        <v>0.47788744832328689</v>
      </c>
      <c r="P10" s="7">
        <f>J22-J23</f>
        <v>-5.3057006908160602</v>
      </c>
      <c r="Q10" s="7">
        <f>J22-J20</f>
        <v>-4.8278132424927733</v>
      </c>
      <c r="R10" s="7">
        <f>J22-J21</f>
        <v>-0.82441298342541458</v>
      </c>
    </row>
    <row r="11" spans="2:18" x14ac:dyDescent="0.3">
      <c r="B11" s="34"/>
      <c r="C11" s="3" t="s">
        <v>16</v>
      </c>
      <c r="D11" s="3">
        <f t="shared" si="0"/>
        <v>1025</v>
      </c>
      <c r="E11" s="3">
        <f t="shared" si="1"/>
        <v>1011</v>
      </c>
      <c r="F11" s="3">
        <v>366</v>
      </c>
      <c r="G11" s="3">
        <v>645</v>
      </c>
      <c r="H11" s="3">
        <v>2</v>
      </c>
      <c r="I11" s="3">
        <v>12</v>
      </c>
      <c r="J11" s="18">
        <f t="shared" si="2"/>
        <v>36.201780415430271</v>
      </c>
      <c r="K11" s="18">
        <f t="shared" si="3"/>
        <v>0.19743336623889435</v>
      </c>
      <c r="L11" s="4"/>
    </row>
    <row r="12" spans="2:18" x14ac:dyDescent="0.3">
      <c r="B12" s="34"/>
      <c r="C12" s="3" t="s">
        <v>18</v>
      </c>
      <c r="D12" s="3">
        <f t="shared" si="0"/>
        <v>1025</v>
      </c>
      <c r="E12" s="3">
        <f t="shared" si="1"/>
        <v>984</v>
      </c>
      <c r="F12" s="3">
        <v>332</v>
      </c>
      <c r="G12" s="3">
        <v>652</v>
      </c>
      <c r="H12" s="3">
        <v>29</v>
      </c>
      <c r="I12" s="3">
        <v>12</v>
      </c>
      <c r="J12" s="18">
        <f t="shared" si="2"/>
        <v>33.739837398373986</v>
      </c>
      <c r="K12" s="18">
        <f t="shared" si="3"/>
        <v>2.8627838104639687</v>
      </c>
      <c r="L12" s="4"/>
    </row>
    <row r="13" spans="2:18" ht="14.4" customHeight="1" x14ac:dyDescent="0.3">
      <c r="B13" s="34" t="s">
        <v>20</v>
      </c>
      <c r="C13" s="1" t="s">
        <v>15</v>
      </c>
      <c r="D13" s="1">
        <f t="shared" si="0"/>
        <v>1025</v>
      </c>
      <c r="E13" s="1">
        <f t="shared" si="1"/>
        <v>550</v>
      </c>
      <c r="F13" s="1">
        <v>144</v>
      </c>
      <c r="G13" s="1">
        <v>406</v>
      </c>
      <c r="H13" s="1">
        <v>463</v>
      </c>
      <c r="I13" s="1">
        <v>12</v>
      </c>
      <c r="J13" s="19">
        <f t="shared" si="2"/>
        <v>26.181818181818183</v>
      </c>
      <c r="K13" s="19">
        <f t="shared" si="3"/>
        <v>45.70582428430405</v>
      </c>
      <c r="L13" s="4"/>
    </row>
    <row r="14" spans="2:18" x14ac:dyDescent="0.3">
      <c r="B14" s="34"/>
      <c r="C14" s="1" t="s">
        <v>16</v>
      </c>
      <c r="D14" s="1">
        <f t="shared" si="0"/>
        <v>1025</v>
      </c>
      <c r="E14" s="1">
        <f t="shared" si="1"/>
        <v>671</v>
      </c>
      <c r="F14" s="1">
        <v>154</v>
      </c>
      <c r="G14" s="1">
        <v>517</v>
      </c>
      <c r="H14" s="1">
        <v>342</v>
      </c>
      <c r="I14" s="1">
        <v>12</v>
      </c>
      <c r="J14" s="19">
        <f t="shared" si="2"/>
        <v>22.950819672131146</v>
      </c>
      <c r="K14" s="19">
        <f t="shared" si="3"/>
        <v>33.761105626850942</v>
      </c>
      <c r="L14" s="4"/>
    </row>
    <row r="15" spans="2:18" x14ac:dyDescent="0.3">
      <c r="B15" s="34"/>
      <c r="C15" s="1" t="s">
        <v>18</v>
      </c>
      <c r="D15" s="1">
        <f t="shared" si="0"/>
        <v>1025</v>
      </c>
      <c r="E15" s="1">
        <f t="shared" si="1"/>
        <v>545</v>
      </c>
      <c r="F15" s="1">
        <v>133</v>
      </c>
      <c r="G15" s="1">
        <v>412</v>
      </c>
      <c r="H15" s="1">
        <v>468</v>
      </c>
      <c r="I15" s="1">
        <v>12</v>
      </c>
      <c r="J15" s="19">
        <f t="shared" si="2"/>
        <v>24.403669724770644</v>
      </c>
      <c r="K15" s="19">
        <f t="shared" si="3"/>
        <v>46.199407699901286</v>
      </c>
      <c r="L15" s="4"/>
      <c r="M15" s="37" t="s">
        <v>24</v>
      </c>
      <c r="N15" s="38"/>
      <c r="O15" s="38"/>
      <c r="P15" s="38"/>
      <c r="Q15" s="38"/>
      <c r="R15" s="39"/>
    </row>
    <row r="16" spans="2:18" x14ac:dyDescent="0.3">
      <c r="B16" s="34" t="s">
        <v>21</v>
      </c>
      <c r="C16" s="3" t="s">
        <v>15</v>
      </c>
      <c r="D16" s="3">
        <f t="shared" si="0"/>
        <v>1025</v>
      </c>
      <c r="E16" s="3">
        <f t="shared" si="1"/>
        <v>953</v>
      </c>
      <c r="F16" s="3">
        <v>252</v>
      </c>
      <c r="G16" s="3">
        <v>701</v>
      </c>
      <c r="H16" s="3">
        <v>60</v>
      </c>
      <c r="I16" s="3">
        <v>12</v>
      </c>
      <c r="J16" s="18">
        <f t="shared" si="2"/>
        <v>26.442812172088143</v>
      </c>
      <c r="K16" s="18">
        <f t="shared" si="3"/>
        <v>5.923000987166831</v>
      </c>
      <c r="L16" s="4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34"/>
      <c r="C17" s="3" t="s">
        <v>16</v>
      </c>
      <c r="D17" s="3">
        <f t="shared" si="0"/>
        <v>1025</v>
      </c>
      <c r="E17" s="3">
        <f t="shared" si="1"/>
        <v>839</v>
      </c>
      <c r="F17" s="3">
        <v>227</v>
      </c>
      <c r="G17" s="3">
        <v>612</v>
      </c>
      <c r="H17" s="3">
        <v>174</v>
      </c>
      <c r="I17" s="3">
        <v>12</v>
      </c>
      <c r="J17" s="18">
        <f t="shared" si="2"/>
        <v>27.056019070321813</v>
      </c>
      <c r="K17" s="18">
        <f t="shared" si="3"/>
        <v>17.176702862783809</v>
      </c>
      <c r="L17" s="4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34"/>
      <c r="C18" s="24" t="s">
        <v>18</v>
      </c>
      <c r="D18" s="24"/>
      <c r="E18" s="24"/>
      <c r="F18" s="24"/>
      <c r="G18" s="24"/>
      <c r="H18" s="24"/>
      <c r="I18" s="24"/>
      <c r="J18" s="25"/>
      <c r="K18" s="25"/>
      <c r="L18" s="4"/>
      <c r="M18" s="1" t="s">
        <v>19</v>
      </c>
      <c r="N18" s="11">
        <v>33.333333333333329</v>
      </c>
      <c r="O18" s="1" t="s">
        <v>19</v>
      </c>
      <c r="P18" s="11">
        <v>35.777126099706749</v>
      </c>
      <c r="Q18" s="1" t="s">
        <v>14</v>
      </c>
      <c r="R18" s="11">
        <v>35.623159960745831</v>
      </c>
    </row>
    <row r="19" spans="2:18" x14ac:dyDescent="0.3">
      <c r="B19" s="34" t="s">
        <v>22</v>
      </c>
      <c r="C19" s="1" t="s">
        <v>15</v>
      </c>
      <c r="D19" s="1">
        <f t="shared" si="0"/>
        <v>1025</v>
      </c>
      <c r="E19" s="1">
        <f t="shared" si="1"/>
        <v>361</v>
      </c>
      <c r="F19" s="1">
        <v>96</v>
      </c>
      <c r="G19" s="1">
        <v>265</v>
      </c>
      <c r="H19" s="1">
        <v>652</v>
      </c>
      <c r="I19" s="1">
        <v>12</v>
      </c>
      <c r="J19" s="19">
        <f t="shared" si="2"/>
        <v>26.59279778393352</v>
      </c>
      <c r="K19" s="19">
        <f t="shared" si="3"/>
        <v>64.363277393879571</v>
      </c>
      <c r="L19" s="4"/>
      <c r="M19" s="1" t="s">
        <v>14</v>
      </c>
      <c r="N19" s="11">
        <v>32.77723258096173</v>
      </c>
      <c r="O19" s="1" t="s">
        <v>14</v>
      </c>
      <c r="P19" s="11">
        <v>34.867776689520078</v>
      </c>
      <c r="Q19" s="1" t="s">
        <v>19</v>
      </c>
      <c r="R19" s="11">
        <v>35.170340681362724</v>
      </c>
    </row>
    <row r="20" spans="2:18" x14ac:dyDescent="0.3">
      <c r="B20" s="34"/>
      <c r="C20" s="1" t="s">
        <v>16</v>
      </c>
      <c r="D20" s="1">
        <f t="shared" si="0"/>
        <v>1025</v>
      </c>
      <c r="E20" s="1">
        <f t="shared" si="1"/>
        <v>772</v>
      </c>
      <c r="F20" s="1">
        <v>242</v>
      </c>
      <c r="G20" s="1">
        <v>530</v>
      </c>
      <c r="H20" s="1">
        <v>241</v>
      </c>
      <c r="I20" s="1">
        <v>12</v>
      </c>
      <c r="J20" s="19">
        <f t="shared" si="2"/>
        <v>31.347150259067359</v>
      </c>
      <c r="K20" s="19">
        <f t="shared" si="3"/>
        <v>23.790720631786773</v>
      </c>
      <c r="L20" s="4"/>
      <c r="M20" s="1" t="s">
        <v>17</v>
      </c>
      <c r="N20" s="11">
        <v>30.031612223393044</v>
      </c>
      <c r="O20" s="1" t="s">
        <v>17</v>
      </c>
      <c r="P20" s="11">
        <v>32.376237623762378</v>
      </c>
      <c r="Q20" s="1" t="s">
        <v>17</v>
      </c>
      <c r="R20" s="11">
        <v>33.233830845771145</v>
      </c>
    </row>
    <row r="21" spans="2:18" x14ac:dyDescent="0.3">
      <c r="B21" s="34"/>
      <c r="C21" s="1" t="s">
        <v>18</v>
      </c>
      <c r="D21" s="1">
        <f t="shared" si="0"/>
        <v>1025</v>
      </c>
      <c r="E21" s="1">
        <f t="shared" si="1"/>
        <v>256</v>
      </c>
      <c r="F21" s="1">
        <v>70</v>
      </c>
      <c r="G21" s="1">
        <v>186</v>
      </c>
      <c r="H21" s="1">
        <v>757</v>
      </c>
      <c r="I21" s="1">
        <v>12</v>
      </c>
      <c r="J21" s="19">
        <f t="shared" si="2"/>
        <v>27.34375</v>
      </c>
      <c r="K21" s="19">
        <f t="shared" si="3"/>
        <v>74.728529121421516</v>
      </c>
      <c r="L21" s="4"/>
      <c r="M21" s="1" t="s">
        <v>22</v>
      </c>
      <c r="N21" s="11">
        <v>26.119402985074625</v>
      </c>
      <c r="O21" s="1" t="s">
        <v>23</v>
      </c>
      <c r="P21" s="11">
        <v>31.25925925925926</v>
      </c>
      <c r="Q21" s="1" t="s">
        <v>21</v>
      </c>
      <c r="R21" s="11">
        <v>26.1139896373057</v>
      </c>
    </row>
    <row r="22" spans="2:18" x14ac:dyDescent="0.3">
      <c r="B22" s="34" t="s">
        <v>23</v>
      </c>
      <c r="C22" s="3" t="s">
        <v>15</v>
      </c>
      <c r="D22" s="3">
        <f t="shared" si="0"/>
        <v>1025</v>
      </c>
      <c r="E22" s="3">
        <f t="shared" si="1"/>
        <v>181</v>
      </c>
      <c r="F22" s="3">
        <v>48</v>
      </c>
      <c r="G22" s="3">
        <v>133</v>
      </c>
      <c r="H22" s="3">
        <v>832</v>
      </c>
      <c r="I22" s="3">
        <v>12</v>
      </c>
      <c r="J22" s="18">
        <f t="shared" si="2"/>
        <v>26.519337016574585</v>
      </c>
      <c r="K22" s="18">
        <f t="shared" si="3"/>
        <v>82.132280355380061</v>
      </c>
      <c r="L22" s="4"/>
      <c r="M22" s="1" t="s">
        <v>20</v>
      </c>
      <c r="N22" s="11">
        <v>23.877917414721722</v>
      </c>
      <c r="O22" s="1" t="s">
        <v>22</v>
      </c>
      <c r="P22" s="11">
        <v>30.867346938775508</v>
      </c>
      <c r="Q22" s="1" t="s">
        <v>22</v>
      </c>
      <c r="R22" s="11">
        <v>25.737265415549597</v>
      </c>
    </row>
    <row r="23" spans="2:18" x14ac:dyDescent="0.3">
      <c r="B23" s="34"/>
      <c r="C23" s="3" t="s">
        <v>16</v>
      </c>
      <c r="D23" s="3">
        <f t="shared" si="0"/>
        <v>1025</v>
      </c>
      <c r="E23" s="3">
        <f t="shared" si="1"/>
        <v>663</v>
      </c>
      <c r="F23" s="3">
        <v>211</v>
      </c>
      <c r="G23" s="3">
        <v>452</v>
      </c>
      <c r="H23" s="3">
        <v>350</v>
      </c>
      <c r="I23" s="3">
        <v>12</v>
      </c>
      <c r="J23" s="18">
        <f t="shared" si="2"/>
        <v>31.825037707390646</v>
      </c>
      <c r="K23" s="18">
        <f t="shared" si="3"/>
        <v>34.550839091806516</v>
      </c>
      <c r="L23" s="4"/>
      <c r="O23" s="1" t="s">
        <v>21</v>
      </c>
      <c r="P23" s="11">
        <v>26.674500587544063</v>
      </c>
      <c r="Q23" s="1" t="s">
        <v>20</v>
      </c>
      <c r="R23" s="11">
        <v>25.622775800711743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4"/>
      <c r="J24" s="25"/>
      <c r="K24" s="25"/>
      <c r="L24" s="4"/>
      <c r="O24" s="1" t="s">
        <v>20</v>
      </c>
      <c r="P24" s="11">
        <v>22.547584187408493</v>
      </c>
      <c r="Q24" s="1" t="s">
        <v>23</v>
      </c>
      <c r="R24" s="11">
        <v>24.870466321243523</v>
      </c>
    </row>
    <row r="25" spans="2:18" x14ac:dyDescent="0.3">
      <c r="L25" s="4"/>
    </row>
    <row r="26" spans="2:18" x14ac:dyDescent="0.3">
      <c r="L26" s="4"/>
    </row>
    <row r="27" spans="2:18" x14ac:dyDescent="0.3">
      <c r="B27" s="30" t="s">
        <v>27</v>
      </c>
      <c r="C27" s="30"/>
      <c r="D27" s="30"/>
      <c r="E27" s="30"/>
      <c r="G27" t="s">
        <v>36</v>
      </c>
      <c r="H27" s="58" t="s">
        <v>55</v>
      </c>
      <c r="I27" s="12" t="s">
        <v>15</v>
      </c>
      <c r="J27" s="7">
        <f>(J4+J7+J10+J13+J19)/5</f>
        <v>31.611221544061625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  <c r="H28" s="58"/>
      <c r="I28" s="12" t="s">
        <v>16</v>
      </c>
      <c r="J28" s="7">
        <f>(J5+J8+J11+J14+J20)/5</f>
        <v>31.709547857568246</v>
      </c>
    </row>
    <row r="29" spans="2:18" x14ac:dyDescent="0.3">
      <c r="B29" s="15" t="s">
        <v>31</v>
      </c>
      <c r="C29" s="12">
        <v>1025</v>
      </c>
      <c r="D29" s="12">
        <v>12</v>
      </c>
      <c r="E29" s="12">
        <f>C29-D29</f>
        <v>1013</v>
      </c>
      <c r="H29" s="58"/>
      <c r="I29" s="12" t="s">
        <v>18</v>
      </c>
      <c r="J29" s="7">
        <f>(J6+J9+J12+J15+J21)/5</f>
        <v>29.814260866327857</v>
      </c>
    </row>
    <row r="30" spans="2:18" x14ac:dyDescent="0.3">
      <c r="B30" s="15" t="s">
        <v>32</v>
      </c>
      <c r="C30" s="12">
        <v>0</v>
      </c>
      <c r="D30" s="12"/>
      <c r="E30" s="12"/>
    </row>
    <row r="31" spans="2:18" x14ac:dyDescent="0.3">
      <c r="B31" s="15" t="s">
        <v>33</v>
      </c>
      <c r="C31" s="12">
        <f>SUM(C29:C30)</f>
        <v>1025</v>
      </c>
      <c r="D31" s="12"/>
      <c r="E31" s="12">
        <f t="shared" ref="E31" si="4">SUM(E29:E30)</f>
        <v>1013</v>
      </c>
    </row>
  </sheetData>
  <mergeCells count="16">
    <mergeCell ref="B19:B21"/>
    <mergeCell ref="B27:E27"/>
    <mergeCell ref="B13:B15"/>
    <mergeCell ref="M15:R15"/>
    <mergeCell ref="M16:N16"/>
    <mergeCell ref="O16:P16"/>
    <mergeCell ref="Q16:R16"/>
    <mergeCell ref="B16:B18"/>
    <mergeCell ref="B22:B24"/>
    <mergeCell ref="H27:H29"/>
    <mergeCell ref="B10:B12"/>
    <mergeCell ref="M2:R2"/>
    <mergeCell ref="B3:C3"/>
    <mergeCell ref="B4:B6"/>
    <mergeCell ref="B7:B9"/>
    <mergeCell ref="B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60-26BB-46E4-B45A-0558292634D7}">
  <sheetPr>
    <tabColor theme="8" tint="0.59999389629810485"/>
  </sheetPr>
  <dimension ref="B2:R31"/>
  <sheetViews>
    <sheetView zoomScale="75" zoomScaleNormal="75" workbookViewId="0">
      <selection activeCell="D24" sqref="D24:K24"/>
    </sheetView>
  </sheetViews>
  <sheetFormatPr baseColWidth="10" defaultColWidth="8.88671875" defaultRowHeight="14.4" x14ac:dyDescent="0.3"/>
  <cols>
    <col min="2" max="2" width="14" bestFit="1" customWidth="1"/>
    <col min="3" max="4" width="14" customWidth="1"/>
    <col min="5" max="12" width="11.6640625" customWidth="1"/>
    <col min="13" max="18" width="14.5546875" customWidth="1"/>
  </cols>
  <sheetData>
    <row r="2" spans="2:18" x14ac:dyDescent="0.3">
      <c r="B2" s="55" t="s">
        <v>48</v>
      </c>
      <c r="C2" s="55"/>
      <c r="D2" s="55"/>
      <c r="E2" s="55"/>
      <c r="F2" s="55"/>
      <c r="G2" s="55"/>
      <c r="H2" s="55"/>
      <c r="I2" s="55"/>
      <c r="J2" s="55"/>
      <c r="K2" s="55"/>
      <c r="M2" s="33" t="s">
        <v>1</v>
      </c>
      <c r="N2" s="33"/>
      <c r="O2" s="33"/>
      <c r="P2" s="33"/>
      <c r="Q2" s="33"/>
      <c r="R2" s="33"/>
    </row>
    <row r="3" spans="2:18" ht="43.2" x14ac:dyDescent="0.3">
      <c r="B3" s="56" t="s">
        <v>2</v>
      </c>
      <c r="C3" s="56"/>
      <c r="D3" s="57" t="s">
        <v>51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50</v>
      </c>
      <c r="J3" s="6" t="s">
        <v>7</v>
      </c>
      <c r="K3" s="6" t="s">
        <v>8</v>
      </c>
      <c r="M3" s="20" t="s">
        <v>2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</row>
    <row r="4" spans="2:18" x14ac:dyDescent="0.3">
      <c r="B4" s="34" t="s">
        <v>14</v>
      </c>
      <c r="C4" s="3" t="s">
        <v>15</v>
      </c>
      <c r="D4" s="3">
        <f>E4+H4+I4</f>
        <v>1010</v>
      </c>
      <c r="E4" s="3">
        <f>F4+G4</f>
        <v>985</v>
      </c>
      <c r="F4" s="3">
        <v>465</v>
      </c>
      <c r="G4" s="3">
        <v>520</v>
      </c>
      <c r="H4" s="3">
        <v>2</v>
      </c>
      <c r="I4" s="3">
        <v>23</v>
      </c>
      <c r="J4" s="18">
        <f>(F4/E4)*100</f>
        <v>47.208121827411169</v>
      </c>
      <c r="K4" s="18">
        <f>(H4/987)*100</f>
        <v>0.2026342451874367</v>
      </c>
      <c r="L4" s="4"/>
      <c r="M4" s="14" t="s">
        <v>14</v>
      </c>
      <c r="N4" s="7">
        <f>J5-J6</f>
        <v>2.8865049283688364</v>
      </c>
      <c r="O4" s="8"/>
      <c r="P4" s="7">
        <f>J4-J5</f>
        <v>1.522842639593911</v>
      </c>
      <c r="Q4" s="8"/>
      <c r="R4" s="7">
        <f>J4-J6</f>
        <v>4.4093475679627474</v>
      </c>
    </row>
    <row r="5" spans="2:18" x14ac:dyDescent="0.3">
      <c r="B5" s="34"/>
      <c r="C5" s="3" t="s">
        <v>16</v>
      </c>
      <c r="D5" s="3">
        <f t="shared" ref="D5:D24" si="0">E5+H5+I5</f>
        <v>1010</v>
      </c>
      <c r="E5" s="3">
        <f t="shared" ref="E5:E24" si="1">F5+G5</f>
        <v>985</v>
      </c>
      <c r="F5" s="3">
        <v>450</v>
      </c>
      <c r="G5" s="3">
        <v>535</v>
      </c>
      <c r="H5" s="3">
        <v>2</v>
      </c>
      <c r="I5" s="3">
        <v>23</v>
      </c>
      <c r="J5" s="18">
        <f t="shared" ref="J5:J23" si="2">(F5/E5)*100</f>
        <v>45.685279187817258</v>
      </c>
      <c r="K5" s="18">
        <f t="shared" ref="K5:K24" si="3">(H5/987)*100</f>
        <v>0.2026342451874367</v>
      </c>
      <c r="L5" s="4"/>
      <c r="M5" s="14" t="s">
        <v>17</v>
      </c>
      <c r="N5" s="7">
        <f>J8-J9</f>
        <v>7.5975157161251232</v>
      </c>
      <c r="O5" s="8"/>
      <c r="P5" s="7">
        <f>J7-J8</f>
        <v>0.90266639205970023</v>
      </c>
      <c r="Q5" s="8"/>
      <c r="R5" s="7">
        <f>J7-J9</f>
        <v>8.5001821081848234</v>
      </c>
    </row>
    <row r="6" spans="2:18" x14ac:dyDescent="0.3">
      <c r="B6" s="34"/>
      <c r="C6" s="3" t="s">
        <v>18</v>
      </c>
      <c r="D6" s="3">
        <f t="shared" si="0"/>
        <v>1010</v>
      </c>
      <c r="E6" s="3">
        <f t="shared" si="1"/>
        <v>979</v>
      </c>
      <c r="F6" s="3">
        <v>419</v>
      </c>
      <c r="G6" s="3">
        <v>560</v>
      </c>
      <c r="H6" s="3">
        <v>8</v>
      </c>
      <c r="I6" s="3">
        <v>23</v>
      </c>
      <c r="J6" s="18">
        <f t="shared" si="2"/>
        <v>42.798774259448422</v>
      </c>
      <c r="K6" s="18">
        <f t="shared" si="3"/>
        <v>0.81053698074974678</v>
      </c>
      <c r="L6" s="4"/>
      <c r="M6" s="14" t="s">
        <v>19</v>
      </c>
      <c r="N6" s="7">
        <f>J11-J12</f>
        <v>9.1818642350553148E-2</v>
      </c>
      <c r="O6" s="8"/>
      <c r="P6" s="7">
        <f>J10-J11</f>
        <v>-0.46178623020453102</v>
      </c>
      <c r="Q6" s="8"/>
      <c r="R6" s="7">
        <f>J10-J12</f>
        <v>-0.36996758785397788</v>
      </c>
    </row>
    <row r="7" spans="2:18" x14ac:dyDescent="0.3">
      <c r="B7" s="34" t="s">
        <v>17</v>
      </c>
      <c r="C7" s="1" t="s">
        <v>15</v>
      </c>
      <c r="D7" s="1">
        <f t="shared" si="0"/>
        <v>1010</v>
      </c>
      <c r="E7" s="1">
        <f t="shared" si="1"/>
        <v>983</v>
      </c>
      <c r="F7" s="1">
        <v>427</v>
      </c>
      <c r="G7" s="1">
        <v>556</v>
      </c>
      <c r="H7" s="1">
        <v>4</v>
      </c>
      <c r="I7" s="1">
        <v>23</v>
      </c>
      <c r="J7" s="19">
        <f t="shared" si="2"/>
        <v>43.438453713123096</v>
      </c>
      <c r="K7" s="19">
        <f t="shared" si="3"/>
        <v>0.40526849037487339</v>
      </c>
      <c r="L7" s="4"/>
      <c r="M7" s="14" t="s">
        <v>20</v>
      </c>
      <c r="N7" s="7">
        <f>J14-J15</f>
        <v>-3.3600054634235157</v>
      </c>
      <c r="O7" s="8"/>
      <c r="P7" s="7">
        <f>J13-J14</f>
        <v>0.91480289230034018</v>
      </c>
      <c r="Q7" s="8"/>
      <c r="R7" s="7">
        <f>J13-J15</f>
        <v>-2.4452025711231755</v>
      </c>
    </row>
    <row r="8" spans="2:18" x14ac:dyDescent="0.3">
      <c r="B8" s="34"/>
      <c r="C8" s="1" t="s">
        <v>16</v>
      </c>
      <c r="D8" s="1">
        <f t="shared" si="0"/>
        <v>1010</v>
      </c>
      <c r="E8" s="1">
        <f t="shared" si="1"/>
        <v>978</v>
      </c>
      <c r="F8" s="1">
        <v>416</v>
      </c>
      <c r="G8" s="1">
        <v>562</v>
      </c>
      <c r="H8" s="1">
        <v>9</v>
      </c>
      <c r="I8" s="1">
        <v>23</v>
      </c>
      <c r="J8" s="19">
        <f t="shared" si="2"/>
        <v>42.535787321063395</v>
      </c>
      <c r="K8" s="19">
        <f t="shared" si="3"/>
        <v>0.91185410334346495</v>
      </c>
      <c r="L8" s="4"/>
      <c r="M8" s="14" t="s">
        <v>21</v>
      </c>
      <c r="N8" s="9"/>
      <c r="O8" s="7">
        <f>J17-J14</f>
        <v>4.5445519731234008</v>
      </c>
      <c r="P8" s="7">
        <f>J16-J17</f>
        <v>-2.1420309198086933</v>
      </c>
      <c r="Q8" s="7">
        <f>J16-J13</f>
        <v>1.4877181610143673</v>
      </c>
      <c r="R8" s="7">
        <f>J16-J15</f>
        <v>-0.95748441010880825</v>
      </c>
    </row>
    <row r="9" spans="2:18" x14ac:dyDescent="0.3">
      <c r="B9" s="34"/>
      <c r="C9" s="1" t="s">
        <v>18</v>
      </c>
      <c r="D9" s="1">
        <f t="shared" si="0"/>
        <v>1010</v>
      </c>
      <c r="E9" s="1">
        <f t="shared" si="1"/>
        <v>810</v>
      </c>
      <c r="F9" s="1">
        <v>283</v>
      </c>
      <c r="G9" s="1">
        <v>527</v>
      </c>
      <c r="H9" s="1">
        <v>177</v>
      </c>
      <c r="I9" s="1">
        <v>23</v>
      </c>
      <c r="J9" s="19">
        <f t="shared" si="2"/>
        <v>34.938271604938272</v>
      </c>
      <c r="K9" s="19">
        <f t="shared" si="3"/>
        <v>17.933130699088146</v>
      </c>
      <c r="L9" s="4"/>
      <c r="M9" s="14" t="s">
        <v>22</v>
      </c>
      <c r="N9" s="7">
        <f>J20-J21</f>
        <v>21.445194545419579</v>
      </c>
      <c r="O9" s="8"/>
      <c r="P9" s="7">
        <f>J19-J20</f>
        <v>-5.5694560281716292</v>
      </c>
      <c r="Q9" s="8"/>
      <c r="R9" s="7">
        <f>J19-J21</f>
        <v>15.875738517247949</v>
      </c>
    </row>
    <row r="10" spans="2:18" x14ac:dyDescent="0.3">
      <c r="B10" s="34" t="s">
        <v>19</v>
      </c>
      <c r="C10" s="3" t="s">
        <v>15</v>
      </c>
      <c r="D10" s="3">
        <f t="shared" si="0"/>
        <v>1010</v>
      </c>
      <c r="E10" s="3">
        <f t="shared" si="1"/>
        <v>977</v>
      </c>
      <c r="F10" s="3">
        <v>434</v>
      </c>
      <c r="G10" s="3">
        <v>543</v>
      </c>
      <c r="H10" s="3">
        <v>10</v>
      </c>
      <c r="I10" s="3">
        <v>23</v>
      </c>
      <c r="J10" s="18">
        <f t="shared" si="2"/>
        <v>44.421699078812694</v>
      </c>
      <c r="K10" s="18">
        <f t="shared" si="3"/>
        <v>1.0131712259371835</v>
      </c>
      <c r="L10" s="4"/>
      <c r="M10" s="14" t="s">
        <v>23</v>
      </c>
      <c r="N10" s="9"/>
      <c r="O10" s="7">
        <f>J23-J20</f>
        <v>-1.3875091710655312</v>
      </c>
      <c r="P10" s="7">
        <f>J22-J23</f>
        <v>-16.745078170237409</v>
      </c>
      <c r="Q10" s="7">
        <f>J22-J20</f>
        <v>-18.132587341302941</v>
      </c>
      <c r="R10" s="7">
        <f>J22-J21</f>
        <v>3.3126072041166381</v>
      </c>
    </row>
    <row r="11" spans="2:18" x14ac:dyDescent="0.3">
      <c r="B11" s="34"/>
      <c r="C11" s="3" t="s">
        <v>16</v>
      </c>
      <c r="D11" s="3">
        <f t="shared" si="0"/>
        <v>1010</v>
      </c>
      <c r="E11" s="3">
        <f t="shared" si="1"/>
        <v>987</v>
      </c>
      <c r="F11" s="3">
        <v>443</v>
      </c>
      <c r="G11" s="3">
        <v>544</v>
      </c>
      <c r="H11" s="3">
        <v>0</v>
      </c>
      <c r="I11" s="3">
        <v>23</v>
      </c>
      <c r="J11" s="18">
        <f t="shared" si="2"/>
        <v>44.883485309017225</v>
      </c>
      <c r="K11" s="18">
        <f t="shared" si="3"/>
        <v>0</v>
      </c>
      <c r="L11" s="4"/>
    </row>
    <row r="12" spans="2:18" x14ac:dyDescent="0.3">
      <c r="B12" s="34"/>
      <c r="C12" s="3" t="s">
        <v>18</v>
      </c>
      <c r="D12" s="3">
        <f t="shared" si="0"/>
        <v>1010</v>
      </c>
      <c r="E12" s="3">
        <f t="shared" si="1"/>
        <v>960</v>
      </c>
      <c r="F12" s="3">
        <v>430</v>
      </c>
      <c r="G12" s="3">
        <v>530</v>
      </c>
      <c r="H12" s="3">
        <v>27</v>
      </c>
      <c r="I12" s="3">
        <v>23</v>
      </c>
      <c r="J12" s="18">
        <f t="shared" si="2"/>
        <v>44.791666666666671</v>
      </c>
      <c r="K12" s="18">
        <f t="shared" si="3"/>
        <v>2.735562310030395</v>
      </c>
      <c r="L12" s="4"/>
    </row>
    <row r="13" spans="2:18" ht="14.4" customHeight="1" x14ac:dyDescent="0.3">
      <c r="B13" s="34" t="s">
        <v>20</v>
      </c>
      <c r="C13" s="1" t="s">
        <v>15</v>
      </c>
      <c r="D13" s="1">
        <f t="shared" si="0"/>
        <v>1010</v>
      </c>
      <c r="E13" s="1">
        <f t="shared" si="1"/>
        <v>419</v>
      </c>
      <c r="F13" s="1">
        <v>108</v>
      </c>
      <c r="G13" s="1">
        <v>311</v>
      </c>
      <c r="H13" s="1">
        <v>568</v>
      </c>
      <c r="I13" s="1">
        <v>23</v>
      </c>
      <c r="J13" s="19">
        <f t="shared" si="2"/>
        <v>25.775656324582343</v>
      </c>
      <c r="K13" s="19">
        <f t="shared" si="3"/>
        <v>57.548125633232019</v>
      </c>
      <c r="L13" s="4"/>
    </row>
    <row r="14" spans="2:18" x14ac:dyDescent="0.3">
      <c r="B14" s="34"/>
      <c r="C14" s="1" t="s">
        <v>16</v>
      </c>
      <c r="D14" s="1">
        <f t="shared" si="0"/>
        <v>1010</v>
      </c>
      <c r="E14" s="1">
        <f t="shared" si="1"/>
        <v>539</v>
      </c>
      <c r="F14" s="1">
        <v>134</v>
      </c>
      <c r="G14" s="1">
        <v>405</v>
      </c>
      <c r="H14" s="1">
        <v>448</v>
      </c>
      <c r="I14" s="1">
        <v>23</v>
      </c>
      <c r="J14" s="19">
        <f t="shared" si="2"/>
        <v>24.860853432282003</v>
      </c>
      <c r="K14" s="19">
        <f t="shared" si="3"/>
        <v>45.390070921985817</v>
      </c>
      <c r="L14" s="4"/>
    </row>
    <row r="15" spans="2:18" x14ac:dyDescent="0.3">
      <c r="B15" s="34"/>
      <c r="C15" s="1" t="s">
        <v>18</v>
      </c>
      <c r="D15" s="1">
        <f t="shared" si="0"/>
        <v>1010</v>
      </c>
      <c r="E15" s="1">
        <f t="shared" si="1"/>
        <v>163</v>
      </c>
      <c r="F15" s="1">
        <v>46</v>
      </c>
      <c r="G15" s="1">
        <v>117</v>
      </c>
      <c r="H15" s="1">
        <v>824</v>
      </c>
      <c r="I15" s="1">
        <v>23</v>
      </c>
      <c r="J15" s="19">
        <f t="shared" si="2"/>
        <v>28.220858895705518</v>
      </c>
      <c r="K15" s="19">
        <f t="shared" si="3"/>
        <v>83.485309017223912</v>
      </c>
      <c r="L15" s="4"/>
      <c r="M15" s="37" t="s">
        <v>24</v>
      </c>
      <c r="N15" s="38"/>
      <c r="O15" s="38"/>
      <c r="P15" s="38"/>
      <c r="Q15" s="38"/>
      <c r="R15" s="39"/>
    </row>
    <row r="16" spans="2:18" x14ac:dyDescent="0.3">
      <c r="B16" s="34" t="s">
        <v>21</v>
      </c>
      <c r="C16" s="3" t="s">
        <v>15</v>
      </c>
      <c r="D16" s="3">
        <f t="shared" si="0"/>
        <v>1010</v>
      </c>
      <c r="E16" s="3">
        <f t="shared" si="1"/>
        <v>972</v>
      </c>
      <c r="F16" s="3">
        <v>265</v>
      </c>
      <c r="G16" s="3">
        <v>707</v>
      </c>
      <c r="H16" s="3">
        <v>15</v>
      </c>
      <c r="I16" s="3">
        <v>23</v>
      </c>
      <c r="J16" s="18">
        <f>(F16/E16)*100</f>
        <v>27.26337448559671</v>
      </c>
      <c r="K16" s="18">
        <f t="shared" si="3"/>
        <v>1.5197568389057752</v>
      </c>
      <c r="L16" s="4"/>
      <c r="M16" s="45" t="s">
        <v>25</v>
      </c>
      <c r="N16" s="46"/>
      <c r="O16" s="45" t="s">
        <v>16</v>
      </c>
      <c r="P16" s="46"/>
      <c r="Q16" s="45" t="s">
        <v>15</v>
      </c>
      <c r="R16" s="46"/>
    </row>
    <row r="17" spans="2:18" x14ac:dyDescent="0.3">
      <c r="B17" s="34"/>
      <c r="C17" s="3" t="s">
        <v>16</v>
      </c>
      <c r="D17" s="3">
        <f t="shared" si="0"/>
        <v>1010</v>
      </c>
      <c r="E17" s="3">
        <f t="shared" si="1"/>
        <v>925</v>
      </c>
      <c r="F17" s="3">
        <v>272</v>
      </c>
      <c r="G17" s="3">
        <v>653</v>
      </c>
      <c r="H17" s="3">
        <v>62</v>
      </c>
      <c r="I17" s="3">
        <v>23</v>
      </c>
      <c r="J17" s="18">
        <f t="shared" si="2"/>
        <v>29.405405405405403</v>
      </c>
      <c r="K17" s="18">
        <f t="shared" si="3"/>
        <v>6.281661600810537</v>
      </c>
      <c r="L17" s="4"/>
      <c r="M17" s="21" t="s">
        <v>35</v>
      </c>
      <c r="N17" s="10" t="s">
        <v>26</v>
      </c>
      <c r="O17" s="21" t="s">
        <v>35</v>
      </c>
      <c r="P17" s="10" t="s">
        <v>26</v>
      </c>
      <c r="Q17" s="21" t="s">
        <v>35</v>
      </c>
      <c r="R17" s="10" t="s">
        <v>26</v>
      </c>
    </row>
    <row r="18" spans="2:18" x14ac:dyDescent="0.3">
      <c r="B18" s="34"/>
      <c r="C18" s="24" t="s">
        <v>18</v>
      </c>
      <c r="D18" s="24"/>
      <c r="E18" s="24"/>
      <c r="F18" s="24"/>
      <c r="G18" s="24"/>
      <c r="H18" s="24"/>
      <c r="I18" s="24"/>
      <c r="J18" s="25"/>
      <c r="K18" s="25"/>
      <c r="L18" s="4"/>
      <c r="M18" s="1" t="s">
        <v>19</v>
      </c>
      <c r="N18" s="11">
        <v>43.743641912512714</v>
      </c>
      <c r="O18" s="1" t="s">
        <v>22</v>
      </c>
      <c r="P18" s="11">
        <v>44.920318725099598</v>
      </c>
      <c r="Q18" s="1" t="s">
        <v>14</v>
      </c>
      <c r="R18" s="11">
        <v>46.130952380952387</v>
      </c>
    </row>
    <row r="19" spans="2:18" x14ac:dyDescent="0.3">
      <c r="B19" s="34" t="s">
        <v>22</v>
      </c>
      <c r="C19" s="1" t="s">
        <v>15</v>
      </c>
      <c r="D19" s="1">
        <f t="shared" si="0"/>
        <v>1010</v>
      </c>
      <c r="E19" s="1">
        <f t="shared" si="1"/>
        <v>396</v>
      </c>
      <c r="F19" s="1">
        <v>160</v>
      </c>
      <c r="G19" s="1">
        <v>236</v>
      </c>
      <c r="H19" s="1">
        <v>591</v>
      </c>
      <c r="I19" s="1">
        <v>23</v>
      </c>
      <c r="J19" s="19">
        <f t="shared" si="2"/>
        <v>40.404040404040401</v>
      </c>
      <c r="K19" s="19">
        <f t="shared" si="3"/>
        <v>59.878419452887542</v>
      </c>
      <c r="L19" s="4"/>
      <c r="M19" s="1" t="s">
        <v>14</v>
      </c>
      <c r="N19" s="11">
        <v>41.816367265469061</v>
      </c>
      <c r="O19" s="1" t="s">
        <v>14</v>
      </c>
      <c r="P19" s="11">
        <v>44.642857142857146</v>
      </c>
      <c r="Q19" s="1" t="s">
        <v>19</v>
      </c>
      <c r="R19" s="11">
        <v>43.4</v>
      </c>
    </row>
    <row r="20" spans="2:18" x14ac:dyDescent="0.3">
      <c r="B20" s="34"/>
      <c r="C20" s="1" t="s">
        <v>16</v>
      </c>
      <c r="D20" s="1">
        <f t="shared" si="0"/>
        <v>1010</v>
      </c>
      <c r="E20" s="1">
        <f t="shared" si="1"/>
        <v>981</v>
      </c>
      <c r="F20" s="1">
        <v>451</v>
      </c>
      <c r="G20" s="1">
        <v>530</v>
      </c>
      <c r="H20" s="1">
        <v>6</v>
      </c>
      <c r="I20" s="1">
        <v>23</v>
      </c>
      <c r="J20" s="19">
        <f t="shared" si="2"/>
        <v>45.973496432212031</v>
      </c>
      <c r="K20" s="19">
        <f t="shared" si="3"/>
        <v>0.60790273556231</v>
      </c>
      <c r="L20" s="4"/>
      <c r="M20" s="1" t="s">
        <v>17</v>
      </c>
      <c r="N20" s="11">
        <v>33.973589435774308</v>
      </c>
      <c r="O20" s="1" t="s">
        <v>19</v>
      </c>
      <c r="P20" s="11">
        <v>43.861386138613859</v>
      </c>
      <c r="Q20" s="1" t="s">
        <v>17</v>
      </c>
      <c r="R20" s="11">
        <v>42.44532803180914</v>
      </c>
    </row>
    <row r="21" spans="2:18" x14ac:dyDescent="0.3">
      <c r="B21" s="34"/>
      <c r="C21" s="1" t="s">
        <v>18</v>
      </c>
      <c r="D21" s="1">
        <f t="shared" si="0"/>
        <v>1010</v>
      </c>
      <c r="E21" s="1">
        <f t="shared" si="1"/>
        <v>212</v>
      </c>
      <c r="F21" s="1">
        <v>52</v>
      </c>
      <c r="G21" s="1">
        <v>160</v>
      </c>
      <c r="H21" s="1">
        <v>775</v>
      </c>
      <c r="I21" s="1">
        <v>23</v>
      </c>
      <c r="J21" s="19">
        <f t="shared" si="2"/>
        <v>24.528301886792452</v>
      </c>
      <c r="K21" s="19">
        <f t="shared" si="3"/>
        <v>78.520770010131713</v>
      </c>
      <c r="L21" s="4"/>
      <c r="M21" s="1" t="s">
        <v>20</v>
      </c>
      <c r="N21" s="11">
        <v>24.731182795698924</v>
      </c>
      <c r="O21" s="1" t="s">
        <v>17</v>
      </c>
      <c r="P21" s="11">
        <v>41.558441558441558</v>
      </c>
      <c r="Q21" s="1" t="s">
        <v>22</v>
      </c>
      <c r="R21" s="11">
        <v>38.186157517899758</v>
      </c>
    </row>
    <row r="22" spans="2:18" x14ac:dyDescent="0.3">
      <c r="B22" s="34" t="s">
        <v>23</v>
      </c>
      <c r="C22" s="3" t="s">
        <v>15</v>
      </c>
      <c r="D22" s="3">
        <f t="shared" si="0"/>
        <v>1010</v>
      </c>
      <c r="E22" s="3">
        <f t="shared" si="1"/>
        <v>176</v>
      </c>
      <c r="F22" s="3">
        <v>49</v>
      </c>
      <c r="G22" s="3">
        <v>127</v>
      </c>
      <c r="H22" s="3">
        <v>811</v>
      </c>
      <c r="I22" s="3">
        <v>23</v>
      </c>
      <c r="J22" s="18">
        <f t="shared" si="2"/>
        <v>27.84090909090909</v>
      </c>
      <c r="K22" s="18">
        <f t="shared" si="3"/>
        <v>82.168186423505574</v>
      </c>
      <c r="L22" s="4"/>
      <c r="M22" s="1" t="s">
        <v>22</v>
      </c>
      <c r="N22" s="11">
        <v>22.127659574468083</v>
      </c>
      <c r="O22" s="1" t="s">
        <v>23</v>
      </c>
      <c r="P22" s="11">
        <v>41.543026706231458</v>
      </c>
      <c r="Q22" s="1" t="s">
        <v>21</v>
      </c>
      <c r="R22" s="11">
        <v>31.457286432160803</v>
      </c>
    </row>
    <row r="23" spans="2:18" x14ac:dyDescent="0.3">
      <c r="B23" s="34"/>
      <c r="C23" s="3" t="s">
        <v>16</v>
      </c>
      <c r="D23" s="3">
        <f t="shared" si="0"/>
        <v>1010</v>
      </c>
      <c r="E23" s="3">
        <f t="shared" si="1"/>
        <v>314</v>
      </c>
      <c r="F23" s="3">
        <v>140</v>
      </c>
      <c r="G23" s="3">
        <v>174</v>
      </c>
      <c r="H23" s="3">
        <v>673</v>
      </c>
      <c r="I23" s="3">
        <v>23</v>
      </c>
      <c r="J23" s="18">
        <f t="shared" si="2"/>
        <v>44.585987261146499</v>
      </c>
      <c r="K23" s="18">
        <f t="shared" si="3"/>
        <v>68.186423505572449</v>
      </c>
      <c r="L23" s="4"/>
      <c r="O23" s="1" t="s">
        <v>21</v>
      </c>
      <c r="P23" s="11">
        <v>28.691983122362867</v>
      </c>
      <c r="Q23" s="1" t="s">
        <v>23</v>
      </c>
      <c r="R23" s="11">
        <v>24.623115577889447</v>
      </c>
    </row>
    <row r="24" spans="2:18" x14ac:dyDescent="0.3">
      <c r="B24" s="34"/>
      <c r="C24" s="24" t="s">
        <v>18</v>
      </c>
      <c r="D24" s="24"/>
      <c r="E24" s="24"/>
      <c r="F24" s="24"/>
      <c r="G24" s="24"/>
      <c r="H24" s="24"/>
      <c r="I24" s="24"/>
      <c r="J24" s="25"/>
      <c r="K24" s="25"/>
      <c r="L24" s="4"/>
      <c r="O24" s="1" t="s">
        <v>20</v>
      </c>
      <c r="P24" s="11">
        <v>23.843416370106763</v>
      </c>
      <c r="Q24" s="1" t="s">
        <v>20</v>
      </c>
      <c r="R24" s="11">
        <v>24.434389140271492</v>
      </c>
    </row>
    <row r="25" spans="2:18" x14ac:dyDescent="0.3">
      <c r="L25" s="4"/>
    </row>
    <row r="26" spans="2:18" x14ac:dyDescent="0.3">
      <c r="L26" s="4"/>
    </row>
    <row r="27" spans="2:18" x14ac:dyDescent="0.3">
      <c r="B27" s="30" t="s">
        <v>27</v>
      </c>
      <c r="C27" s="30"/>
      <c r="D27" s="30"/>
      <c r="E27" s="30"/>
      <c r="G27" t="s">
        <v>36</v>
      </c>
      <c r="H27" s="58" t="s">
        <v>55</v>
      </c>
      <c r="I27" s="12" t="s">
        <v>15</v>
      </c>
      <c r="J27" s="7">
        <f>(J4+J7+J10+J13+J19)/5</f>
        <v>40.249594269593935</v>
      </c>
    </row>
    <row r="28" spans="2:18" x14ac:dyDescent="0.3">
      <c r="B28" s="16" t="s">
        <v>28</v>
      </c>
      <c r="C28" s="17" t="s">
        <v>52</v>
      </c>
      <c r="D28" s="17" t="s">
        <v>54</v>
      </c>
      <c r="E28" s="17" t="s">
        <v>53</v>
      </c>
      <c r="H28" s="58"/>
      <c r="I28" s="12" t="s">
        <v>16</v>
      </c>
      <c r="J28" s="7">
        <f t="shared" ref="J28" si="4">(J5+J8+J11+J14+J20)/5</f>
        <v>40.787780336478384</v>
      </c>
    </row>
    <row r="29" spans="2:18" x14ac:dyDescent="0.3">
      <c r="B29" s="15" t="s">
        <v>31</v>
      </c>
      <c r="C29" s="12">
        <v>1010</v>
      </c>
      <c r="D29" s="12">
        <v>23</v>
      </c>
      <c r="E29" s="12">
        <f>C29-D29</f>
        <v>987</v>
      </c>
      <c r="H29" s="58"/>
      <c r="I29" s="12" t="s">
        <v>18</v>
      </c>
      <c r="J29" s="7">
        <f>(J6+J9+J12+J15+J21)/5</f>
        <v>35.055574662710271</v>
      </c>
    </row>
    <row r="30" spans="2:18" x14ac:dyDescent="0.3">
      <c r="B30" s="15" t="s">
        <v>32</v>
      </c>
      <c r="C30" s="12">
        <v>0</v>
      </c>
      <c r="D30" s="12"/>
      <c r="E30" s="12"/>
    </row>
    <row r="31" spans="2:18" x14ac:dyDescent="0.3">
      <c r="B31" s="15" t="s">
        <v>33</v>
      </c>
      <c r="C31" s="12">
        <f>SUM(C29:C30)</f>
        <v>1010</v>
      </c>
      <c r="D31" s="12"/>
      <c r="E31" s="12">
        <f t="shared" ref="E31" si="5">SUM(E29:E30)</f>
        <v>987</v>
      </c>
    </row>
  </sheetData>
  <mergeCells count="16">
    <mergeCell ref="B19:B21"/>
    <mergeCell ref="B27:E27"/>
    <mergeCell ref="B13:B15"/>
    <mergeCell ref="M15:R15"/>
    <mergeCell ref="M16:N16"/>
    <mergeCell ref="O16:P16"/>
    <mergeCell ref="Q16:R16"/>
    <mergeCell ref="B16:B18"/>
    <mergeCell ref="B22:B24"/>
    <mergeCell ref="H27:H29"/>
    <mergeCell ref="B10:B12"/>
    <mergeCell ref="M2:R2"/>
    <mergeCell ref="B3:C3"/>
    <mergeCell ref="B4:B6"/>
    <mergeCell ref="B7:B9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Prueba_BIOLOGIA_2020</vt:lpstr>
      <vt:lpstr>No Available</vt:lpstr>
      <vt:lpstr>Global</vt:lpstr>
      <vt:lpstr>MEDICINA</vt:lpstr>
      <vt:lpstr>ENFERMERÍA</vt:lpstr>
      <vt:lpstr>BIOLOGÍA</vt:lpstr>
      <vt:lpstr>FARMACIA</vt:lpstr>
      <vt:lpstr>PSICOLOGÍA</vt:lpstr>
      <vt:lpstr>FÍSICA</vt:lpstr>
      <vt:lpstr>QUÍMICA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Ariceta García</dc:creator>
  <cp:keywords/>
  <dc:description/>
  <cp:lastModifiedBy>Lorena Ariceta García</cp:lastModifiedBy>
  <cp:revision/>
  <dcterms:created xsi:type="dcterms:W3CDTF">2015-06-05T18:19:34Z</dcterms:created>
  <dcterms:modified xsi:type="dcterms:W3CDTF">2026-01-14T20:04:26Z</dcterms:modified>
  <cp:category/>
  <cp:contentStatus/>
</cp:coreProperties>
</file>