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56eb89965c5422/Escritorio/TFM_UCM/"/>
    </mc:Choice>
  </mc:AlternateContent>
  <xr:revisionPtr revIDLastSave="183" documentId="14_{1DF2C051-9BB4-44A0-8BB2-BC6796C3F97E}" xr6:coauthVersionLast="47" xr6:coauthVersionMax="47" xr10:uidLastSave="{F2790A53-DDC8-4739-8BB7-46B6C39022FF}"/>
  <bookViews>
    <workbookView xWindow="-108" yWindow="-108" windowWidth="23256" windowHeight="12456" xr2:uid="{58C87A6F-1B14-4A64-A70F-5072DDA12830}"/>
  </bookViews>
  <sheets>
    <sheet name="RAG - Prueba Medicina" sheetId="1" r:id="rId1"/>
    <sheet name="Gráficas" sheetId="4" r:id="rId2"/>
    <sheet name="Comparativa" sheetId="5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G5" i="5"/>
  <c r="G6" i="5"/>
  <c r="G7" i="5"/>
  <c r="G8" i="5"/>
  <c r="G9" i="5"/>
  <c r="G10" i="5"/>
  <c r="G11" i="5"/>
  <c r="G3" i="5"/>
  <c r="E13" i="5"/>
  <c r="F13" i="5"/>
  <c r="D13" i="5"/>
  <c r="E28" i="4"/>
  <c r="F28" i="4"/>
  <c r="E29" i="4"/>
  <c r="F29" i="4"/>
  <c r="E30" i="4"/>
  <c r="F30" i="4"/>
  <c r="E31" i="4"/>
  <c r="F31" i="4"/>
  <c r="D31" i="4"/>
  <c r="D30" i="4"/>
  <c r="D29" i="4"/>
  <c r="D28" i="4"/>
  <c r="E27" i="4"/>
  <c r="F27" i="4"/>
  <c r="D27" i="4"/>
  <c r="F26" i="4"/>
  <c r="E26" i="4"/>
  <c r="D26" i="4"/>
</calcChain>
</file>

<file path=xl/sharedStrings.xml><?xml version="1.0" encoding="utf-8"?>
<sst xmlns="http://schemas.openxmlformats.org/spreadsheetml/2006/main" count="113" uniqueCount="25">
  <si>
    <t>llama3</t>
  </si>
  <si>
    <t>Wikipedia</t>
  </si>
  <si>
    <t>Pubmed</t>
  </si>
  <si>
    <t>v1</t>
  </si>
  <si>
    <t>v2</t>
  </si>
  <si>
    <t>v3</t>
  </si>
  <si>
    <t>Total preguntas</t>
  </si>
  <si>
    <t>Aciertos</t>
  </si>
  <si>
    <t>Errores</t>
  </si>
  <si>
    <t>Sin respuesta</t>
  </si>
  <si>
    <t>gemma</t>
  </si>
  <si>
    <t>mistral</t>
  </si>
  <si>
    <t>Accuracy (%)</t>
  </si>
  <si>
    <t>Version</t>
  </si>
  <si>
    <t>Con Wikipedia/Pubmed</t>
  </si>
  <si>
    <t>Con Wikipedia/ Pubmed</t>
  </si>
  <si>
    <t>Global</t>
  </si>
  <si>
    <t>Sin Wikipedia/Pubmed</t>
  </si>
  <si>
    <t>Sin Wikipedia/ Pubmed</t>
  </si>
  <si>
    <t>Source</t>
  </si>
  <si>
    <t>Model</t>
  </si>
  <si>
    <t>Modelo</t>
  </si>
  <si>
    <t>No Prompt</t>
  </si>
  <si>
    <t>Prompt ES</t>
  </si>
  <si>
    <t>Prompt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</si>
</sst>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1"/>
      <color theme="5"/>
      <name val="Calibri"/>
      <family val="2"/>
    </font>
    <font>
      <b/>
      <sz val="11"/>
      <color theme="8"/>
      <name val="Calibri"/>
      <family val="2"/>
    </font>
    <font>
      <b/>
      <sz val="11"/>
      <color theme="9"/>
      <name val="Calibri"/>
      <family val="2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/>
    <xf numFmtId="2" fontId="0" fillId="11" borderId="0" xfId="0" applyNumberFormat="1" applyFill="1"/>
    <xf numFmtId="0" fontId="0" fillId="1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Average model accuracy across RAG versions, models and knowledge sources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Gráficas!$D$2:$D$3</c:f>
              <c:strCache>
                <c:ptCount val="2"/>
                <c:pt idx="0">
                  <c:v>Global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Gráficas!$A$4:$C$21</c:f>
              <c:multiLvlStrCache>
                <c:ptCount val="18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  <c:pt idx="9">
                    <c:v>v1</c:v>
                  </c:pt>
                  <c:pt idx="10">
                    <c:v>v2</c:v>
                  </c:pt>
                  <c:pt idx="11">
                    <c:v>v3</c:v>
                  </c:pt>
                  <c:pt idx="12">
                    <c:v>v1</c:v>
                  </c:pt>
                  <c:pt idx="13">
                    <c:v>v2</c:v>
                  </c:pt>
                  <c:pt idx="14">
                    <c:v>v3</c:v>
                  </c:pt>
                  <c:pt idx="15">
                    <c:v>v1</c:v>
                  </c:pt>
                  <c:pt idx="16">
                    <c:v>v2</c:v>
                  </c:pt>
                  <c:pt idx="17">
                    <c:v>v3</c:v>
                  </c:pt>
                </c:lvl>
                <c:lvl>
                  <c:pt idx="0">
                    <c:v>llama3</c:v>
                  </c:pt>
                  <c:pt idx="3">
                    <c:v>gemma</c:v>
                  </c:pt>
                  <c:pt idx="6">
                    <c:v>mistral</c:v>
                  </c:pt>
                  <c:pt idx="9">
                    <c:v>llama3</c:v>
                  </c:pt>
                  <c:pt idx="12">
                    <c:v>gemma</c:v>
                  </c:pt>
                  <c:pt idx="15">
                    <c:v>mistral</c:v>
                  </c:pt>
                </c:lvl>
                <c:lvl>
                  <c:pt idx="0">
                    <c:v>Wikipedia</c:v>
                  </c:pt>
                  <c:pt idx="9">
                    <c:v>Pubmed</c:v>
                  </c:pt>
                </c:lvl>
              </c:multiLvlStrCache>
            </c:multiLvlStrRef>
          </c:cat>
          <c:val>
            <c:numRef>
              <c:f>Gráficas!$D$4:$D$21</c:f>
              <c:numCache>
                <c:formatCode>0.0</c:formatCode>
                <c:ptCount val="18"/>
                <c:pt idx="0">
                  <c:v>48.11</c:v>
                </c:pt>
                <c:pt idx="1">
                  <c:v>46.78</c:v>
                </c:pt>
                <c:pt idx="2">
                  <c:v>48.33</c:v>
                </c:pt>
                <c:pt idx="3">
                  <c:v>37.22</c:v>
                </c:pt>
                <c:pt idx="4">
                  <c:v>36.78</c:v>
                </c:pt>
                <c:pt idx="5">
                  <c:v>38.44</c:v>
                </c:pt>
                <c:pt idx="6">
                  <c:v>36.67</c:v>
                </c:pt>
                <c:pt idx="7">
                  <c:v>42.22</c:v>
                </c:pt>
                <c:pt idx="8">
                  <c:v>42.78</c:v>
                </c:pt>
                <c:pt idx="9">
                  <c:v>45.44</c:v>
                </c:pt>
                <c:pt idx="10">
                  <c:v>47.67</c:v>
                </c:pt>
                <c:pt idx="11">
                  <c:v>47.44</c:v>
                </c:pt>
                <c:pt idx="12">
                  <c:v>39.67</c:v>
                </c:pt>
                <c:pt idx="13">
                  <c:v>44.89</c:v>
                </c:pt>
                <c:pt idx="14">
                  <c:v>40.11</c:v>
                </c:pt>
                <c:pt idx="15">
                  <c:v>32</c:v>
                </c:pt>
                <c:pt idx="16">
                  <c:v>40.33</c:v>
                </c:pt>
                <c:pt idx="17">
                  <c:v>44.56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A-4953-B108-A65AE079DD80}"/>
            </c:ext>
          </c:extLst>
        </c:ser>
        <c:ser>
          <c:idx val="1"/>
          <c:order val="1"/>
          <c:tx>
            <c:strRef>
              <c:f>Gráficas!$E$2:$E$3</c:f>
              <c:strCache>
                <c:ptCount val="2"/>
                <c:pt idx="0">
                  <c:v>Con Wikipedia/ Pubmed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Gráficas!$A$4:$C$21</c:f>
              <c:multiLvlStrCache>
                <c:ptCount val="18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  <c:pt idx="9">
                    <c:v>v1</c:v>
                  </c:pt>
                  <c:pt idx="10">
                    <c:v>v2</c:v>
                  </c:pt>
                  <c:pt idx="11">
                    <c:v>v3</c:v>
                  </c:pt>
                  <c:pt idx="12">
                    <c:v>v1</c:v>
                  </c:pt>
                  <c:pt idx="13">
                    <c:v>v2</c:v>
                  </c:pt>
                  <c:pt idx="14">
                    <c:v>v3</c:v>
                  </c:pt>
                  <c:pt idx="15">
                    <c:v>v1</c:v>
                  </c:pt>
                  <c:pt idx="16">
                    <c:v>v2</c:v>
                  </c:pt>
                  <c:pt idx="17">
                    <c:v>v3</c:v>
                  </c:pt>
                </c:lvl>
                <c:lvl>
                  <c:pt idx="0">
                    <c:v>llama3</c:v>
                  </c:pt>
                  <c:pt idx="3">
                    <c:v>gemma</c:v>
                  </c:pt>
                  <c:pt idx="6">
                    <c:v>mistral</c:v>
                  </c:pt>
                  <c:pt idx="9">
                    <c:v>llama3</c:v>
                  </c:pt>
                  <c:pt idx="12">
                    <c:v>gemma</c:v>
                  </c:pt>
                  <c:pt idx="15">
                    <c:v>mistral</c:v>
                  </c:pt>
                </c:lvl>
                <c:lvl>
                  <c:pt idx="0">
                    <c:v>Wikipedia</c:v>
                  </c:pt>
                  <c:pt idx="9">
                    <c:v>Pubmed</c:v>
                  </c:pt>
                </c:lvl>
              </c:multiLvlStrCache>
            </c:multiLvlStrRef>
          </c:cat>
          <c:val>
            <c:numRef>
              <c:f>Gráficas!$E$4:$E$21</c:f>
              <c:numCache>
                <c:formatCode>0.0</c:formatCode>
                <c:ptCount val="18"/>
                <c:pt idx="0">
                  <c:v>47.35</c:v>
                </c:pt>
                <c:pt idx="1">
                  <c:v>46.77</c:v>
                </c:pt>
                <c:pt idx="2">
                  <c:v>48.47</c:v>
                </c:pt>
                <c:pt idx="3">
                  <c:v>37.909999999999997</c:v>
                </c:pt>
                <c:pt idx="4">
                  <c:v>37.15</c:v>
                </c:pt>
                <c:pt idx="5">
                  <c:v>38.729999999999997</c:v>
                </c:pt>
                <c:pt idx="6">
                  <c:v>37.909999999999997</c:v>
                </c:pt>
                <c:pt idx="7">
                  <c:v>42.13</c:v>
                </c:pt>
                <c:pt idx="8">
                  <c:v>42.58</c:v>
                </c:pt>
                <c:pt idx="9">
                  <c:v>45.56</c:v>
                </c:pt>
                <c:pt idx="10">
                  <c:v>48.04</c:v>
                </c:pt>
                <c:pt idx="11">
                  <c:v>46.02</c:v>
                </c:pt>
                <c:pt idx="12">
                  <c:v>42.5</c:v>
                </c:pt>
                <c:pt idx="13">
                  <c:v>42.5</c:v>
                </c:pt>
                <c:pt idx="14">
                  <c:v>41.5</c:v>
                </c:pt>
                <c:pt idx="15">
                  <c:v>28.89</c:v>
                </c:pt>
                <c:pt idx="16">
                  <c:v>46.11</c:v>
                </c:pt>
                <c:pt idx="17">
                  <c:v>47.08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1A-4953-B108-A65AE079DD80}"/>
            </c:ext>
          </c:extLst>
        </c:ser>
        <c:ser>
          <c:idx val="2"/>
          <c:order val="2"/>
          <c:tx>
            <c:strRef>
              <c:f>Gráficas!$F$2:$F$3</c:f>
              <c:strCache>
                <c:ptCount val="2"/>
                <c:pt idx="0">
                  <c:v>Sin Wikipedia/ Pubmed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Gráficas!$A$4:$C$21</c:f>
              <c:multiLvlStrCache>
                <c:ptCount val="18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  <c:pt idx="9">
                    <c:v>v1</c:v>
                  </c:pt>
                  <c:pt idx="10">
                    <c:v>v2</c:v>
                  </c:pt>
                  <c:pt idx="11">
                    <c:v>v3</c:v>
                  </c:pt>
                  <c:pt idx="12">
                    <c:v>v1</c:v>
                  </c:pt>
                  <c:pt idx="13">
                    <c:v>v2</c:v>
                  </c:pt>
                  <c:pt idx="14">
                    <c:v>v3</c:v>
                  </c:pt>
                  <c:pt idx="15">
                    <c:v>v1</c:v>
                  </c:pt>
                  <c:pt idx="16">
                    <c:v>v2</c:v>
                  </c:pt>
                  <c:pt idx="17">
                    <c:v>v3</c:v>
                  </c:pt>
                </c:lvl>
                <c:lvl>
                  <c:pt idx="0">
                    <c:v>llama3</c:v>
                  </c:pt>
                  <c:pt idx="3">
                    <c:v>gemma</c:v>
                  </c:pt>
                  <c:pt idx="6">
                    <c:v>mistral</c:v>
                  </c:pt>
                  <c:pt idx="9">
                    <c:v>llama3</c:v>
                  </c:pt>
                  <c:pt idx="12">
                    <c:v>gemma</c:v>
                  </c:pt>
                  <c:pt idx="15">
                    <c:v>mistral</c:v>
                  </c:pt>
                </c:lvl>
                <c:lvl>
                  <c:pt idx="0">
                    <c:v>Wikipedia</c:v>
                  </c:pt>
                  <c:pt idx="9">
                    <c:v>Pubmed</c:v>
                  </c:pt>
                </c:lvl>
              </c:multiLvlStrCache>
            </c:multiLvlStrRef>
          </c:cat>
          <c:val>
            <c:numRef>
              <c:f>Gráficas!$F$4:$F$21</c:f>
              <c:numCache>
                <c:formatCode>0.0</c:formatCode>
                <c:ptCount val="18"/>
                <c:pt idx="0">
                  <c:v>50.75</c:v>
                </c:pt>
                <c:pt idx="1">
                  <c:v>47.06</c:v>
                </c:pt>
                <c:pt idx="2">
                  <c:v>41.18</c:v>
                </c:pt>
                <c:pt idx="3">
                  <c:v>34.83</c:v>
                </c:pt>
                <c:pt idx="4">
                  <c:v>17.649999999999999</c:v>
                </c:pt>
                <c:pt idx="5">
                  <c:v>23.53</c:v>
                </c:pt>
                <c:pt idx="6">
                  <c:v>41.79</c:v>
                </c:pt>
                <c:pt idx="7">
                  <c:v>47.06</c:v>
                </c:pt>
                <c:pt idx="8">
                  <c:v>52.94</c:v>
                </c:pt>
                <c:pt idx="9">
                  <c:v>45.37</c:v>
                </c:pt>
                <c:pt idx="10">
                  <c:v>47.42</c:v>
                </c:pt>
                <c:pt idx="11">
                  <c:v>48.36</c:v>
                </c:pt>
                <c:pt idx="12">
                  <c:v>37.78</c:v>
                </c:pt>
                <c:pt idx="13">
                  <c:v>38.89</c:v>
                </c:pt>
                <c:pt idx="14">
                  <c:v>39.19</c:v>
                </c:pt>
                <c:pt idx="15">
                  <c:v>34.07</c:v>
                </c:pt>
                <c:pt idx="16">
                  <c:v>44.07</c:v>
                </c:pt>
                <c:pt idx="17">
                  <c:v>42.88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1A-4953-B108-A65AE079D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944495"/>
        <c:axId val="1125957455"/>
      </c:barChart>
      <c:catAx>
        <c:axId val="1125944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Source /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5957455"/>
        <c:crosses val="autoZero"/>
        <c:auto val="1"/>
        <c:lblAlgn val="ctr"/>
        <c:lblOffset val="100"/>
        <c:noMultiLvlLbl val="0"/>
      </c:catAx>
      <c:valAx>
        <c:axId val="11259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Accuracy</a:t>
                </a:r>
                <a:r>
                  <a:rPr lang="es-ES" baseline="0"/>
                  <a:t> (%)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594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model accuracy across RAG versions and knowledge sources</a:t>
            </a:r>
            <a:endParaRPr lang="es-E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Gráficas!$D$24:$D$25</c:f>
              <c:strCache>
                <c:ptCount val="2"/>
                <c:pt idx="0">
                  <c:v>Global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Gráficas!$B$26:$C$31</c:f>
              <c:multiLvlStrCache>
                <c:ptCount val="6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</c:lvl>
                <c:lvl>
                  <c:pt idx="0">
                    <c:v>Wikipedia</c:v>
                  </c:pt>
                  <c:pt idx="3">
                    <c:v>Pubmed</c:v>
                  </c:pt>
                </c:lvl>
              </c:multiLvlStrCache>
            </c:multiLvlStrRef>
          </c:cat>
          <c:val>
            <c:numRef>
              <c:f>Gráficas!$D$26:$D$31</c:f>
              <c:numCache>
                <c:formatCode>0.0</c:formatCode>
                <c:ptCount val="6"/>
                <c:pt idx="0">
                  <c:v>40.666666666666664</c:v>
                </c:pt>
                <c:pt idx="1">
                  <c:v>41.926666666666669</c:v>
                </c:pt>
                <c:pt idx="2">
                  <c:v>43.183333333333337</c:v>
                </c:pt>
                <c:pt idx="3">
                  <c:v>39.036666666666669</c:v>
                </c:pt>
                <c:pt idx="4">
                  <c:v>44.29666666666666</c:v>
                </c:pt>
                <c:pt idx="5">
                  <c:v>44.036666666666669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E-4BD4-B930-395EB2F2CECB}"/>
            </c:ext>
          </c:extLst>
        </c:ser>
        <c:ser>
          <c:idx val="1"/>
          <c:order val="1"/>
          <c:tx>
            <c:strRef>
              <c:f>Gráficas!$E$24:$E$25</c:f>
              <c:strCache>
                <c:ptCount val="2"/>
                <c:pt idx="0">
                  <c:v>Con Wikipedia/ Pubmed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Gráficas!$B$26:$C$31</c:f>
              <c:multiLvlStrCache>
                <c:ptCount val="6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</c:lvl>
                <c:lvl>
                  <c:pt idx="0">
                    <c:v>Wikipedia</c:v>
                  </c:pt>
                  <c:pt idx="3">
                    <c:v>Pubmed</c:v>
                  </c:pt>
                </c:lvl>
              </c:multiLvlStrCache>
            </c:multiLvlStrRef>
          </c:cat>
          <c:val>
            <c:numRef>
              <c:f>Gráficas!$E$26:$E$31</c:f>
              <c:numCache>
                <c:formatCode>0.0</c:formatCode>
                <c:ptCount val="6"/>
                <c:pt idx="0">
                  <c:v>41.056666666666665</c:v>
                </c:pt>
                <c:pt idx="1">
                  <c:v>42.016666666666673</c:v>
                </c:pt>
                <c:pt idx="2">
                  <c:v>43.259999999999991</c:v>
                </c:pt>
                <c:pt idx="3">
                  <c:v>38.983333333333334</c:v>
                </c:pt>
                <c:pt idx="4">
                  <c:v>45.54999999999999</c:v>
                </c:pt>
                <c:pt idx="5">
                  <c:v>44.866666666666674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E-4BD4-B930-395EB2F2CECB}"/>
            </c:ext>
          </c:extLst>
        </c:ser>
        <c:ser>
          <c:idx val="2"/>
          <c:order val="2"/>
          <c:tx>
            <c:strRef>
              <c:f>Gráficas!$F$24:$F$25</c:f>
              <c:strCache>
                <c:ptCount val="2"/>
                <c:pt idx="0">
                  <c:v>Sin Wikipedia/ Pubmed</c:v>
                </c:pt>
                <c:pt idx="1">
                  <c:v>Accuracy (%)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Gráficas!$B$26:$C$31</c:f>
              <c:multiLvlStrCache>
                <c:ptCount val="6"/>
                <c:lvl>
                  <c:pt idx="0">
                    <c:v>v1</c:v>
                  </c:pt>
                  <c:pt idx="1">
                    <c:v>v2</c:v>
                  </c:pt>
                  <c:pt idx="2">
                    <c:v>v3</c:v>
                  </c:pt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</c:lvl>
                <c:lvl>
                  <c:pt idx="0">
                    <c:v>Wikipedia</c:v>
                  </c:pt>
                  <c:pt idx="3">
                    <c:v>Pubmed</c:v>
                  </c:pt>
                </c:lvl>
              </c:multiLvlStrCache>
            </c:multiLvlStrRef>
          </c:cat>
          <c:val>
            <c:numRef>
              <c:f>Gráficas!$F$26:$F$31</c:f>
              <c:numCache>
                <c:formatCode>0.0</c:formatCode>
                <c:ptCount val="6"/>
                <c:pt idx="0">
                  <c:v>42.456666666666671</c:v>
                </c:pt>
                <c:pt idx="1">
                  <c:v>37.256666666666668</c:v>
                </c:pt>
                <c:pt idx="2">
                  <c:v>39.216666666666669</c:v>
                </c:pt>
                <c:pt idx="3">
                  <c:v>39.073333333333331</c:v>
                </c:pt>
                <c:pt idx="4">
                  <c:v>43.46</c:v>
                </c:pt>
                <c:pt idx="5">
                  <c:v>43.476666666666667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3E-4BD4-B930-395EB2F2C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583968"/>
        <c:axId val="1043584928"/>
      </c:barChart>
      <c:catAx>
        <c:axId val="104358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Source /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3584928"/>
        <c:crosses val="autoZero"/>
        <c:auto val="1"/>
        <c:lblAlgn val="ctr"/>
        <c:lblOffset val="100"/>
        <c:noMultiLvlLbl val="0"/>
      </c:catAx>
      <c:valAx>
        <c:axId val="104358492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35839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model accuracy across prompt test, RAG versions, models and knowledge sources</a:t>
            </a:r>
            <a:endParaRPr lang="es-E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Comparativa!$D$2</c:f>
              <c:strCache>
                <c:ptCount val="1"/>
                <c:pt idx="0">
                  <c:v>llama3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Comparativa!$B$3:$C$11</c:f>
              <c:multiLvlStrCache>
                <c:ptCount val="9"/>
                <c:lvl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</c:lvl>
                <c:lvl>
                  <c:pt idx="0">
                    <c:v>No Prompt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Wikipedia</c:v>
                  </c:pt>
                  <c:pt idx="6">
                    <c:v>Pubmed</c:v>
                  </c:pt>
                </c:lvl>
              </c:multiLvlStrCache>
            </c:multiLvlStrRef>
          </c:cat>
          <c:val>
            <c:numRef>
              <c:f>Comparativa!$D$3:$D$11</c:f>
              <c:numCache>
                <c:formatCode>0.00</c:formatCode>
                <c:ptCount val="9"/>
                <c:pt idx="0" formatCode="General">
                  <c:v>45.72</c:v>
                </c:pt>
                <c:pt idx="1">
                  <c:v>47.8</c:v>
                </c:pt>
                <c:pt idx="2" formatCode="General">
                  <c:v>48.37</c:v>
                </c:pt>
                <c:pt idx="3" formatCode="General">
                  <c:v>48.11</c:v>
                </c:pt>
                <c:pt idx="4" formatCode="General">
                  <c:v>46.78</c:v>
                </c:pt>
                <c:pt idx="5" formatCode="General">
                  <c:v>48.33</c:v>
                </c:pt>
                <c:pt idx="6" formatCode="General">
                  <c:v>45.44</c:v>
                </c:pt>
                <c:pt idx="7" formatCode="General">
                  <c:v>47.67</c:v>
                </c:pt>
                <c:pt idx="8" formatCode="General">
                  <c:v>47.44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A-4493-9207-A5890E7005BE}"/>
            </c:ext>
          </c:extLst>
        </c:ser>
        <c:ser>
          <c:idx val="1"/>
          <c:order val="1"/>
          <c:tx>
            <c:strRef>
              <c:f>Comparativa!$E$2</c:f>
              <c:strCache>
                <c:ptCount val="1"/>
                <c:pt idx="0">
                  <c:v>gemma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Comparativa!$B$3:$C$11</c:f>
              <c:multiLvlStrCache>
                <c:ptCount val="9"/>
                <c:lvl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</c:lvl>
                <c:lvl>
                  <c:pt idx="0">
                    <c:v>No Prompt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Wikipedia</c:v>
                  </c:pt>
                  <c:pt idx="6">
                    <c:v>Pubmed</c:v>
                  </c:pt>
                </c:lvl>
              </c:multiLvlStrCache>
            </c:multiLvlStrRef>
          </c:cat>
          <c:val>
            <c:numRef>
              <c:f>Comparativa!$E$3:$E$11</c:f>
              <c:numCache>
                <c:formatCode>General</c:formatCode>
                <c:ptCount val="9"/>
                <c:pt idx="0">
                  <c:v>43.22</c:v>
                </c:pt>
                <c:pt idx="1">
                  <c:v>43.52</c:v>
                </c:pt>
                <c:pt idx="2">
                  <c:v>43.8</c:v>
                </c:pt>
                <c:pt idx="3">
                  <c:v>48.33</c:v>
                </c:pt>
                <c:pt idx="4">
                  <c:v>36.78</c:v>
                </c:pt>
                <c:pt idx="5">
                  <c:v>38.44</c:v>
                </c:pt>
                <c:pt idx="6">
                  <c:v>39.67</c:v>
                </c:pt>
                <c:pt idx="7">
                  <c:v>44.89</c:v>
                </c:pt>
                <c:pt idx="8">
                  <c:v>40.11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A-4493-9207-A5890E7005BE}"/>
            </c:ext>
          </c:extLst>
        </c:ser>
        <c:ser>
          <c:idx val="2"/>
          <c:order val="2"/>
          <c:tx>
            <c:strRef>
              <c:f>Comparativa!$F$2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Comparativa!$B$3:$C$11</c:f>
              <c:multiLvlStrCache>
                <c:ptCount val="9"/>
                <c:lvl>
                  <c:pt idx="3">
                    <c:v>v1</c:v>
                  </c:pt>
                  <c:pt idx="4">
                    <c:v>v2</c:v>
                  </c:pt>
                  <c:pt idx="5">
                    <c:v>v3</c:v>
                  </c:pt>
                  <c:pt idx="6">
                    <c:v>v1</c:v>
                  </c:pt>
                  <c:pt idx="7">
                    <c:v>v2</c:v>
                  </c:pt>
                  <c:pt idx="8">
                    <c:v>v3</c:v>
                  </c:pt>
                </c:lvl>
                <c:lvl>
                  <c:pt idx="0">
                    <c:v>No Prompt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Wikipedia</c:v>
                  </c:pt>
                  <c:pt idx="6">
                    <c:v>Pubmed</c:v>
                  </c:pt>
                </c:lvl>
              </c:multiLvlStrCache>
            </c:multiLvlStrRef>
          </c:cat>
          <c:val>
            <c:numRef>
              <c:f>Comparativa!$F$3:$F$11</c:f>
              <c:numCache>
                <c:formatCode>General</c:formatCode>
                <c:ptCount val="9"/>
                <c:pt idx="0">
                  <c:v>35.729999999999997</c:v>
                </c:pt>
                <c:pt idx="1">
                  <c:v>44.08</c:v>
                </c:pt>
                <c:pt idx="2">
                  <c:v>43.92</c:v>
                </c:pt>
                <c:pt idx="3">
                  <c:v>36.67</c:v>
                </c:pt>
                <c:pt idx="4">
                  <c:v>42.22</c:v>
                </c:pt>
                <c:pt idx="5">
                  <c:v>42.78</c:v>
                </c:pt>
                <c:pt idx="6" formatCode="0.00">
                  <c:v>32</c:v>
                </c:pt>
                <c:pt idx="7">
                  <c:v>40.33</c:v>
                </c:pt>
                <c:pt idx="8">
                  <c:v>44.56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A-4493-9207-A5890E700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539328"/>
        <c:axId val="1287544128"/>
      </c:barChart>
      <c:catAx>
        <c:axId val="1287539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Source / Test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7544128"/>
        <c:crosses val="autoZero"/>
        <c:auto val="1"/>
        <c:lblAlgn val="ctr"/>
        <c:lblOffset val="100"/>
        <c:noMultiLvlLbl val="0"/>
      </c:catAx>
      <c:valAx>
        <c:axId val="128754412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753932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777240</xdr:colOff>
      <xdr:row>0</xdr:row>
      <xdr:rowOff>179070</xdr:rowOff>
    </xdr:from>
    <xdr:to>
      <xdr:col>15</xdr:col>
      <xdr:colOff>784860</xdr:colOff>
      <xdr:row>20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EDBBC4-E993-2E4D-E27C-B6726DDD9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3810</xdr:rowOff>
    </xdr:from>
    <xdr:to>
      <xdr:col>14</xdr:col>
      <xdr:colOff>152400</xdr:colOff>
      <xdr:row>39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3139E4-ED7E-EF24-CCFB-4ED9A1C21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795865</xdr:colOff>
      <xdr:row>0</xdr:row>
      <xdr:rowOff>177799</xdr:rowOff>
    </xdr:from>
    <xdr:to>
      <xdr:col>16</xdr:col>
      <xdr:colOff>778933</xdr:colOff>
      <xdr:row>21</xdr:row>
      <xdr:rowOff>177800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654F40-C37A-3BE7-CC94-3A4935EBD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B34D-25FB-47C2-86EC-2CCD4A5DCC04}">
  <dimension ref="A1:S32"/>
  <sheetViews>
    <sheetView tabSelected="1" workbookViewId="0">
      <selection activeCell="S12" sqref="S12"/>
    </sheetView>
  </sheetViews>
  <sheetFormatPr baseColWidth="10" defaultRowHeight="14.4" x14ac:dyDescent="0.3"/>
  <cols>
    <col min="1" max="1" width="9.33203125" style="1" bestFit="1" customWidth="1"/>
    <col min="2" max="2" width="7" style="1" bestFit="1" customWidth="1"/>
    <col min="3" max="3" width="7.109375" style="1" bestFit="1" customWidth="1"/>
    <col min="4" max="7" width="9.88671875" style="1" customWidth="1"/>
    <col min="8" max="8" width="11.88671875" style="1" customWidth="1"/>
    <col min="9" max="12" width="9.88671875" style="1" customWidth="1"/>
    <col min="13" max="13" width="11.88671875" style="1" customWidth="1"/>
    <col min="14" max="17" width="9.88671875" style="1" customWidth="1"/>
    <col min="18" max="18" width="11.88671875" style="1" customWidth="1"/>
    <col min="19" max="16384" width="11.5546875" style="1"/>
  </cols>
  <sheetData>
    <row r="1" spans="1:19" customFormat="1" x14ac:dyDescent="0.3"/>
    <row r="2" spans="1:19" customFormat="1" x14ac:dyDescent="0.3">
      <c r="A2" s="18" t="s">
        <v>19</v>
      </c>
      <c r="B2" s="18" t="s">
        <v>20</v>
      </c>
      <c r="C2" s="18" t="s">
        <v>13</v>
      </c>
      <c r="D2" s="17" t="s">
        <v>16</v>
      </c>
      <c r="E2" s="17"/>
      <c r="F2" s="17"/>
      <c r="G2" s="17"/>
      <c r="H2" s="17"/>
      <c r="I2" s="17" t="s">
        <v>14</v>
      </c>
      <c r="J2" s="17"/>
      <c r="K2" s="17"/>
      <c r="L2" s="17"/>
      <c r="M2" s="17"/>
      <c r="N2" s="17" t="s">
        <v>17</v>
      </c>
      <c r="O2" s="17"/>
      <c r="P2" s="17"/>
      <c r="Q2" s="17"/>
      <c r="R2" s="17"/>
    </row>
    <row r="3" spans="1:19" s="4" customFormat="1" ht="28.8" x14ac:dyDescent="0.3">
      <c r="A3" s="18"/>
      <c r="B3" s="18"/>
      <c r="C3" s="18"/>
      <c r="D3" s="7" t="s">
        <v>6</v>
      </c>
      <c r="E3" s="7" t="s">
        <v>7</v>
      </c>
      <c r="F3" s="7" t="s">
        <v>8</v>
      </c>
      <c r="G3" s="7" t="s">
        <v>9</v>
      </c>
      <c r="H3" s="7" t="s">
        <v>12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12</v>
      </c>
      <c r="N3" s="5" t="s">
        <v>6</v>
      </c>
      <c r="O3" s="5" t="s">
        <v>7</v>
      </c>
      <c r="P3" s="5" t="s">
        <v>8</v>
      </c>
      <c r="Q3" s="5" t="s">
        <v>9</v>
      </c>
      <c r="R3" s="5" t="s">
        <v>12</v>
      </c>
    </row>
    <row r="4" spans="1:19" x14ac:dyDescent="0.3">
      <c r="A4" s="20" t="s">
        <v>1</v>
      </c>
      <c r="B4" s="19" t="s">
        <v>0</v>
      </c>
      <c r="C4" s="3" t="s">
        <v>3</v>
      </c>
      <c r="D4" s="8">
        <v>900</v>
      </c>
      <c r="E4" s="8">
        <v>433</v>
      </c>
      <c r="F4" s="8">
        <v>465</v>
      </c>
      <c r="G4" s="8">
        <v>2</v>
      </c>
      <c r="H4" s="25">
        <v>48.11</v>
      </c>
      <c r="I4" s="9">
        <v>699</v>
      </c>
      <c r="J4" s="9">
        <v>331</v>
      </c>
      <c r="K4" s="9">
        <v>366</v>
      </c>
      <c r="L4" s="9">
        <v>2</v>
      </c>
      <c r="M4" s="27">
        <v>47.35</v>
      </c>
      <c r="N4" s="10">
        <v>201</v>
      </c>
      <c r="O4" s="10">
        <v>102</v>
      </c>
      <c r="P4" s="10">
        <v>99</v>
      </c>
      <c r="Q4" s="10">
        <v>0</v>
      </c>
      <c r="R4" s="29">
        <v>50.75</v>
      </c>
      <c r="S4" s="11"/>
    </row>
    <row r="5" spans="1:19" x14ac:dyDescent="0.3">
      <c r="A5" s="20"/>
      <c r="B5" s="19"/>
      <c r="C5" s="3" t="s">
        <v>4</v>
      </c>
      <c r="D5" s="8">
        <v>900</v>
      </c>
      <c r="E5" s="8">
        <v>421</v>
      </c>
      <c r="F5" s="8">
        <v>477</v>
      </c>
      <c r="G5" s="8">
        <v>2</v>
      </c>
      <c r="H5" s="25">
        <v>46.78</v>
      </c>
      <c r="I5" s="9">
        <v>883</v>
      </c>
      <c r="J5" s="9">
        <v>413</v>
      </c>
      <c r="K5" s="9">
        <v>468</v>
      </c>
      <c r="L5" s="9">
        <v>2</v>
      </c>
      <c r="M5" s="27">
        <v>46.77</v>
      </c>
      <c r="N5" s="10">
        <v>17</v>
      </c>
      <c r="O5" s="10">
        <v>8</v>
      </c>
      <c r="P5" s="10">
        <v>9</v>
      </c>
      <c r="Q5" s="10">
        <v>0</v>
      </c>
      <c r="R5" s="29">
        <v>47.06</v>
      </c>
      <c r="S5" s="11"/>
    </row>
    <row r="6" spans="1:19" x14ac:dyDescent="0.3">
      <c r="A6" s="20"/>
      <c r="B6" s="19"/>
      <c r="C6" s="3" t="s">
        <v>5</v>
      </c>
      <c r="D6" s="8">
        <v>900</v>
      </c>
      <c r="E6" s="8">
        <v>435</v>
      </c>
      <c r="F6" s="8">
        <v>465</v>
      </c>
      <c r="G6" s="8">
        <v>0</v>
      </c>
      <c r="H6" s="25">
        <v>48.33</v>
      </c>
      <c r="I6" s="9">
        <v>883</v>
      </c>
      <c r="J6" s="9">
        <v>428</v>
      </c>
      <c r="K6" s="9">
        <v>455</v>
      </c>
      <c r="L6" s="9">
        <v>0</v>
      </c>
      <c r="M6" s="27">
        <v>48.47</v>
      </c>
      <c r="N6" s="10">
        <v>17</v>
      </c>
      <c r="O6" s="10">
        <v>7</v>
      </c>
      <c r="P6" s="10">
        <v>10</v>
      </c>
      <c r="Q6" s="10">
        <v>0</v>
      </c>
      <c r="R6" s="29">
        <v>41.18</v>
      </c>
      <c r="S6" s="11"/>
    </row>
    <row r="7" spans="1:19" x14ac:dyDescent="0.3">
      <c r="A7" s="20"/>
      <c r="B7" s="19" t="s">
        <v>10</v>
      </c>
      <c r="C7" s="3" t="s">
        <v>3</v>
      </c>
      <c r="D7" s="3">
        <v>900</v>
      </c>
      <c r="E7" s="3">
        <v>335</v>
      </c>
      <c r="F7" s="3">
        <v>561</v>
      </c>
      <c r="G7" s="3">
        <v>4</v>
      </c>
      <c r="H7" s="26">
        <v>37.22</v>
      </c>
      <c r="I7" s="2">
        <v>699</v>
      </c>
      <c r="J7" s="2">
        <v>265</v>
      </c>
      <c r="K7" s="2">
        <v>431</v>
      </c>
      <c r="L7" s="2">
        <v>3</v>
      </c>
      <c r="M7" s="28">
        <v>37.909999999999997</v>
      </c>
      <c r="N7" s="2">
        <v>201</v>
      </c>
      <c r="O7" s="2">
        <v>70</v>
      </c>
      <c r="P7" s="2">
        <v>130</v>
      </c>
      <c r="Q7" s="2">
        <v>1</v>
      </c>
      <c r="R7" s="30">
        <v>34.83</v>
      </c>
      <c r="S7" s="11"/>
    </row>
    <row r="8" spans="1:19" x14ac:dyDescent="0.3">
      <c r="A8" s="20"/>
      <c r="B8" s="19"/>
      <c r="C8" s="3" t="s">
        <v>4</v>
      </c>
      <c r="D8" s="3">
        <v>900</v>
      </c>
      <c r="E8" s="3">
        <v>331</v>
      </c>
      <c r="F8" s="3">
        <v>566</v>
      </c>
      <c r="G8" s="3">
        <v>3</v>
      </c>
      <c r="H8" s="26">
        <v>36.78</v>
      </c>
      <c r="I8" s="2">
        <v>883</v>
      </c>
      <c r="J8" s="2">
        <v>328</v>
      </c>
      <c r="K8" s="2">
        <v>552</v>
      </c>
      <c r="L8" s="2">
        <v>3</v>
      </c>
      <c r="M8" s="28">
        <v>37.15</v>
      </c>
      <c r="N8" s="2">
        <v>17</v>
      </c>
      <c r="O8" s="2">
        <v>3</v>
      </c>
      <c r="P8" s="2">
        <v>14</v>
      </c>
      <c r="Q8" s="2">
        <v>0</v>
      </c>
      <c r="R8" s="30">
        <v>17.649999999999999</v>
      </c>
      <c r="S8" s="11"/>
    </row>
    <row r="9" spans="1:19" x14ac:dyDescent="0.3">
      <c r="A9" s="20"/>
      <c r="B9" s="19"/>
      <c r="C9" s="3" t="s">
        <v>5</v>
      </c>
      <c r="D9" s="3">
        <v>900</v>
      </c>
      <c r="E9" s="3">
        <v>346</v>
      </c>
      <c r="F9" s="3">
        <v>554</v>
      </c>
      <c r="G9" s="3">
        <v>0</v>
      </c>
      <c r="H9" s="26">
        <v>38.44</v>
      </c>
      <c r="I9" s="2">
        <v>883</v>
      </c>
      <c r="J9" s="2">
        <v>342</v>
      </c>
      <c r="K9" s="2">
        <v>541</v>
      </c>
      <c r="L9" s="2">
        <v>0</v>
      </c>
      <c r="M9" s="28">
        <v>38.729999999999997</v>
      </c>
      <c r="N9" s="2">
        <v>17</v>
      </c>
      <c r="O9" s="2">
        <v>4</v>
      </c>
      <c r="P9" s="2">
        <v>13</v>
      </c>
      <c r="Q9" s="2">
        <v>0</v>
      </c>
      <c r="R9" s="30">
        <v>23.53</v>
      </c>
      <c r="S9" s="11"/>
    </row>
    <row r="10" spans="1:19" x14ac:dyDescent="0.3">
      <c r="A10" s="20"/>
      <c r="B10" s="19" t="s">
        <v>11</v>
      </c>
      <c r="C10" s="3" t="s">
        <v>3</v>
      </c>
      <c r="D10" s="8">
        <v>900</v>
      </c>
      <c r="E10" s="8">
        <v>330</v>
      </c>
      <c r="F10" s="8">
        <v>465</v>
      </c>
      <c r="G10" s="8">
        <v>105</v>
      </c>
      <c r="H10" s="25">
        <v>36.67</v>
      </c>
      <c r="I10" s="9">
        <v>699</v>
      </c>
      <c r="J10" s="9">
        <v>265</v>
      </c>
      <c r="K10" s="9">
        <v>431</v>
      </c>
      <c r="L10" s="9">
        <v>3</v>
      </c>
      <c r="M10" s="27">
        <v>37.909999999999997</v>
      </c>
      <c r="N10" s="10">
        <v>201</v>
      </c>
      <c r="O10" s="10">
        <v>84</v>
      </c>
      <c r="P10" s="10">
        <v>95</v>
      </c>
      <c r="Q10" s="10">
        <v>22</v>
      </c>
      <c r="R10" s="29">
        <v>41.79</v>
      </c>
      <c r="S10" s="11"/>
    </row>
    <row r="11" spans="1:19" x14ac:dyDescent="0.3">
      <c r="A11" s="20"/>
      <c r="B11" s="19"/>
      <c r="C11" s="3" t="s">
        <v>4</v>
      </c>
      <c r="D11" s="8">
        <v>900</v>
      </c>
      <c r="E11" s="8">
        <v>380</v>
      </c>
      <c r="F11" s="8">
        <v>502</v>
      </c>
      <c r="G11" s="8">
        <v>18</v>
      </c>
      <c r="H11" s="25">
        <v>42.22</v>
      </c>
      <c r="I11" s="9">
        <v>883</v>
      </c>
      <c r="J11" s="9">
        <v>372</v>
      </c>
      <c r="K11" s="9">
        <v>493</v>
      </c>
      <c r="L11" s="9">
        <v>18</v>
      </c>
      <c r="M11" s="27">
        <v>42.13</v>
      </c>
      <c r="N11" s="10">
        <v>17</v>
      </c>
      <c r="O11" s="10">
        <v>8</v>
      </c>
      <c r="P11" s="10">
        <v>9</v>
      </c>
      <c r="Q11" s="10">
        <v>0</v>
      </c>
      <c r="R11" s="29">
        <v>47.06</v>
      </c>
      <c r="S11" s="11"/>
    </row>
    <row r="12" spans="1:19" x14ac:dyDescent="0.3">
      <c r="A12" s="20"/>
      <c r="B12" s="19"/>
      <c r="C12" s="3" t="s">
        <v>5</v>
      </c>
      <c r="D12" s="8">
        <v>900</v>
      </c>
      <c r="E12" s="8">
        <v>385</v>
      </c>
      <c r="F12" s="8">
        <v>511</v>
      </c>
      <c r="G12" s="8">
        <v>4</v>
      </c>
      <c r="H12" s="25">
        <v>42.78</v>
      </c>
      <c r="I12" s="9">
        <v>883</v>
      </c>
      <c r="J12" s="9">
        <v>376</v>
      </c>
      <c r="K12" s="9">
        <v>503</v>
      </c>
      <c r="L12" s="9">
        <v>4</v>
      </c>
      <c r="M12" s="27">
        <v>42.58</v>
      </c>
      <c r="N12" s="10">
        <v>17</v>
      </c>
      <c r="O12" s="10">
        <v>9</v>
      </c>
      <c r="P12" s="10">
        <v>8</v>
      </c>
      <c r="Q12" s="10">
        <v>0</v>
      </c>
      <c r="R12" s="29">
        <v>52.94</v>
      </c>
      <c r="S12" s="11"/>
    </row>
    <row r="13" spans="1:19" x14ac:dyDescent="0.3">
      <c r="A13" s="20" t="s">
        <v>2</v>
      </c>
      <c r="B13" s="19" t="s">
        <v>0</v>
      </c>
      <c r="C13" s="3" t="s">
        <v>3</v>
      </c>
      <c r="D13" s="3">
        <v>900</v>
      </c>
      <c r="E13" s="3">
        <v>409</v>
      </c>
      <c r="F13" s="3">
        <v>489</v>
      </c>
      <c r="G13" s="3">
        <v>2</v>
      </c>
      <c r="H13" s="26">
        <v>45.44</v>
      </c>
      <c r="I13" s="2">
        <v>360</v>
      </c>
      <c r="J13" s="2">
        <v>164</v>
      </c>
      <c r="K13" s="2">
        <v>196</v>
      </c>
      <c r="L13" s="2">
        <v>0</v>
      </c>
      <c r="M13" s="28">
        <v>45.56</v>
      </c>
      <c r="N13" s="2">
        <v>540</v>
      </c>
      <c r="O13" s="2">
        <v>245</v>
      </c>
      <c r="P13" s="2">
        <v>293</v>
      </c>
      <c r="Q13" s="2">
        <v>2</v>
      </c>
      <c r="R13" s="30">
        <v>45.37</v>
      </c>
      <c r="S13" s="11"/>
    </row>
    <row r="14" spans="1:19" x14ac:dyDescent="0.3">
      <c r="A14" s="20"/>
      <c r="B14" s="19"/>
      <c r="C14" s="3" t="s">
        <v>4</v>
      </c>
      <c r="D14" s="3">
        <v>900</v>
      </c>
      <c r="E14" s="3">
        <v>429</v>
      </c>
      <c r="F14" s="3">
        <v>470</v>
      </c>
      <c r="G14" s="3">
        <v>1</v>
      </c>
      <c r="H14" s="26">
        <v>47.67</v>
      </c>
      <c r="I14" s="2">
        <v>358</v>
      </c>
      <c r="J14" s="2">
        <v>172</v>
      </c>
      <c r="K14" s="2">
        <v>186</v>
      </c>
      <c r="L14" s="2">
        <v>0</v>
      </c>
      <c r="M14" s="28">
        <v>48.04</v>
      </c>
      <c r="N14" s="2">
        <v>542</v>
      </c>
      <c r="O14" s="2">
        <v>257</v>
      </c>
      <c r="P14" s="2">
        <v>284</v>
      </c>
      <c r="Q14" s="2">
        <v>1</v>
      </c>
      <c r="R14" s="30">
        <v>47.42</v>
      </c>
      <c r="S14" s="11"/>
    </row>
    <row r="15" spans="1:19" x14ac:dyDescent="0.3">
      <c r="A15" s="20"/>
      <c r="B15" s="19"/>
      <c r="C15" s="3" t="s">
        <v>5</v>
      </c>
      <c r="D15" s="3">
        <v>900</v>
      </c>
      <c r="E15" s="3">
        <v>427</v>
      </c>
      <c r="F15" s="3">
        <v>473</v>
      </c>
      <c r="G15" s="3">
        <v>0</v>
      </c>
      <c r="H15" s="26">
        <v>47.44</v>
      </c>
      <c r="I15" s="2">
        <v>352</v>
      </c>
      <c r="J15" s="2">
        <v>162</v>
      </c>
      <c r="K15" s="2">
        <v>190</v>
      </c>
      <c r="L15" s="2">
        <v>0</v>
      </c>
      <c r="M15" s="28">
        <v>46.02</v>
      </c>
      <c r="N15" s="2">
        <v>548</v>
      </c>
      <c r="O15" s="2">
        <v>265</v>
      </c>
      <c r="P15" s="2">
        <v>283</v>
      </c>
      <c r="Q15" s="2">
        <v>0</v>
      </c>
      <c r="R15" s="30">
        <v>48.36</v>
      </c>
      <c r="S15" s="11"/>
    </row>
    <row r="16" spans="1:19" x14ac:dyDescent="0.3">
      <c r="A16" s="20"/>
      <c r="B16" s="19" t="s">
        <v>10</v>
      </c>
      <c r="C16" s="3" t="s">
        <v>3</v>
      </c>
      <c r="D16" s="8">
        <v>900</v>
      </c>
      <c r="E16" s="8">
        <v>357</v>
      </c>
      <c r="F16" s="8">
        <v>541</v>
      </c>
      <c r="G16" s="8">
        <v>2</v>
      </c>
      <c r="H16" s="25">
        <v>39.67</v>
      </c>
      <c r="I16" s="9">
        <v>360</v>
      </c>
      <c r="J16" s="9">
        <v>153</v>
      </c>
      <c r="K16" s="9">
        <v>205</v>
      </c>
      <c r="L16" s="9">
        <v>2</v>
      </c>
      <c r="M16" s="27">
        <v>42.5</v>
      </c>
      <c r="N16" s="10">
        <v>540</v>
      </c>
      <c r="O16" s="10">
        <v>204</v>
      </c>
      <c r="P16" s="10">
        <v>336</v>
      </c>
      <c r="Q16" s="10">
        <v>0</v>
      </c>
      <c r="R16" s="29">
        <v>37.78</v>
      </c>
      <c r="S16" s="11"/>
    </row>
    <row r="17" spans="1:19" x14ac:dyDescent="0.3">
      <c r="A17" s="20"/>
      <c r="B17" s="19"/>
      <c r="C17" s="3" t="s">
        <v>4</v>
      </c>
      <c r="D17" s="8">
        <v>900</v>
      </c>
      <c r="E17" s="8">
        <v>404</v>
      </c>
      <c r="F17" s="8">
        <v>473</v>
      </c>
      <c r="G17" s="8">
        <v>23</v>
      </c>
      <c r="H17" s="25">
        <v>44.89</v>
      </c>
      <c r="I17" s="9">
        <v>360</v>
      </c>
      <c r="J17" s="9">
        <v>153</v>
      </c>
      <c r="K17" s="9">
        <v>206</v>
      </c>
      <c r="L17" s="9">
        <v>1</v>
      </c>
      <c r="M17" s="27">
        <v>42.5</v>
      </c>
      <c r="N17" s="10">
        <v>540</v>
      </c>
      <c r="O17" s="10">
        <v>210</v>
      </c>
      <c r="P17" s="10">
        <v>330</v>
      </c>
      <c r="Q17" s="10">
        <v>0</v>
      </c>
      <c r="R17" s="29">
        <v>38.89</v>
      </c>
      <c r="S17" s="11"/>
    </row>
    <row r="18" spans="1:19" x14ac:dyDescent="0.3">
      <c r="A18" s="20"/>
      <c r="B18" s="19"/>
      <c r="C18" s="3" t="s">
        <v>5</v>
      </c>
      <c r="D18" s="8">
        <v>900</v>
      </c>
      <c r="E18" s="8">
        <v>361</v>
      </c>
      <c r="F18" s="8">
        <v>539</v>
      </c>
      <c r="G18" s="8">
        <v>1</v>
      </c>
      <c r="H18" s="25">
        <v>40.11</v>
      </c>
      <c r="I18" s="9">
        <v>359</v>
      </c>
      <c r="J18" s="9">
        <v>149</v>
      </c>
      <c r="K18" s="9">
        <v>209</v>
      </c>
      <c r="L18" s="9">
        <v>1</v>
      </c>
      <c r="M18" s="27">
        <v>41.5</v>
      </c>
      <c r="N18" s="10">
        <v>541</v>
      </c>
      <c r="O18" s="10">
        <v>212</v>
      </c>
      <c r="P18" s="10">
        <v>329</v>
      </c>
      <c r="Q18" s="10">
        <v>0</v>
      </c>
      <c r="R18" s="29">
        <v>39.19</v>
      </c>
      <c r="S18" s="11"/>
    </row>
    <row r="19" spans="1:19" x14ac:dyDescent="0.3">
      <c r="A19" s="20"/>
      <c r="B19" s="19" t="s">
        <v>11</v>
      </c>
      <c r="C19" s="3" t="s">
        <v>3</v>
      </c>
      <c r="D19" s="3">
        <v>900</v>
      </c>
      <c r="E19" s="3">
        <v>288</v>
      </c>
      <c r="F19" s="3">
        <v>423</v>
      </c>
      <c r="G19" s="3">
        <v>189</v>
      </c>
      <c r="H19" s="26">
        <v>32</v>
      </c>
      <c r="I19" s="2">
        <v>360</v>
      </c>
      <c r="J19" s="2">
        <v>104</v>
      </c>
      <c r="K19" s="2">
        <v>151</v>
      </c>
      <c r="L19" s="2">
        <v>105</v>
      </c>
      <c r="M19" s="28">
        <v>28.89</v>
      </c>
      <c r="N19" s="2">
        <v>540</v>
      </c>
      <c r="O19" s="2">
        <v>184</v>
      </c>
      <c r="P19" s="2">
        <v>272</v>
      </c>
      <c r="Q19" s="2">
        <v>84</v>
      </c>
      <c r="R19" s="30">
        <v>34.07</v>
      </c>
      <c r="S19" s="11"/>
    </row>
    <row r="20" spans="1:19" x14ac:dyDescent="0.3">
      <c r="A20" s="20"/>
      <c r="B20" s="19"/>
      <c r="C20" s="3" t="s">
        <v>4</v>
      </c>
      <c r="D20" s="3">
        <v>900</v>
      </c>
      <c r="E20" s="3">
        <v>404</v>
      </c>
      <c r="F20" s="3">
        <v>473</v>
      </c>
      <c r="G20" s="3">
        <v>23</v>
      </c>
      <c r="H20" s="26">
        <v>40.33</v>
      </c>
      <c r="I20" s="2">
        <v>360</v>
      </c>
      <c r="J20" s="2">
        <v>166</v>
      </c>
      <c r="K20" s="2">
        <v>175</v>
      </c>
      <c r="L20" s="2">
        <v>19</v>
      </c>
      <c r="M20" s="28">
        <v>46.11</v>
      </c>
      <c r="N20" s="2">
        <v>540</v>
      </c>
      <c r="O20" s="2">
        <v>238</v>
      </c>
      <c r="P20" s="2">
        <v>298</v>
      </c>
      <c r="Q20" s="2">
        <v>4</v>
      </c>
      <c r="R20" s="30">
        <v>44.07</v>
      </c>
      <c r="S20" s="11"/>
    </row>
    <row r="21" spans="1:19" x14ac:dyDescent="0.3">
      <c r="A21" s="20"/>
      <c r="B21" s="19"/>
      <c r="C21" s="3" t="s">
        <v>5</v>
      </c>
      <c r="D21" s="3">
        <v>900</v>
      </c>
      <c r="E21" s="3">
        <v>401</v>
      </c>
      <c r="F21" s="3">
        <v>482</v>
      </c>
      <c r="G21" s="3">
        <v>17</v>
      </c>
      <c r="H21" s="26">
        <v>44.56</v>
      </c>
      <c r="I21" s="2">
        <v>359</v>
      </c>
      <c r="J21" s="2">
        <v>169</v>
      </c>
      <c r="K21" s="2">
        <v>174</v>
      </c>
      <c r="L21" s="2">
        <v>16</v>
      </c>
      <c r="M21" s="28">
        <v>47.08</v>
      </c>
      <c r="N21" s="2">
        <v>541</v>
      </c>
      <c r="O21" s="2">
        <v>232</v>
      </c>
      <c r="P21" s="2">
        <v>308</v>
      </c>
      <c r="Q21" s="2">
        <v>1</v>
      </c>
      <c r="R21" s="30">
        <v>42.88</v>
      </c>
      <c r="S21" s="11"/>
    </row>
    <row r="22" spans="1:19" x14ac:dyDescent="0.3">
      <c r="A22"/>
      <c r="B22"/>
      <c r="C22"/>
    </row>
    <row r="23" spans="1:19" x14ac:dyDescent="0.3">
      <c r="A23"/>
      <c r="B23"/>
      <c r="C23"/>
    </row>
    <row r="24" spans="1:19" x14ac:dyDescent="0.3">
      <c r="A24"/>
      <c r="B24"/>
      <c r="C24"/>
      <c r="D24"/>
    </row>
    <row r="25" spans="1:19" x14ac:dyDescent="0.3">
      <c r="A25"/>
      <c r="B25"/>
      <c r="C25"/>
      <c r="D25"/>
      <c r="E25"/>
    </row>
    <row r="26" spans="1:19" x14ac:dyDescent="0.3">
      <c r="A26"/>
      <c r="B26"/>
      <c r="C26"/>
      <c r="D26"/>
      <c r="E26"/>
    </row>
    <row r="27" spans="1:19" x14ac:dyDescent="0.3">
      <c r="A27"/>
      <c r="B27"/>
      <c r="C27"/>
      <c r="D27"/>
      <c r="E27"/>
    </row>
    <row r="28" spans="1:19" x14ac:dyDescent="0.3">
      <c r="A28"/>
      <c r="B28"/>
      <c r="C28"/>
      <c r="D28"/>
      <c r="E28"/>
    </row>
    <row r="29" spans="1:19" x14ac:dyDescent="0.3">
      <c r="A29"/>
      <c r="B29"/>
      <c r="C29"/>
      <c r="D29"/>
      <c r="E29"/>
    </row>
    <row r="30" spans="1:19" x14ac:dyDescent="0.3">
      <c r="A30"/>
      <c r="B30"/>
      <c r="C30"/>
      <c r="D30"/>
      <c r="E30"/>
    </row>
    <row r="31" spans="1:19" x14ac:dyDescent="0.3">
      <c r="A31"/>
      <c r="B31"/>
      <c r="C31"/>
      <c r="D31"/>
    </row>
    <row r="32" spans="1:19" x14ac:dyDescent="0.3">
      <c r="A32"/>
      <c r="B32"/>
      <c r="C32"/>
      <c r="D32"/>
    </row>
  </sheetData>
  <mergeCells count="14">
    <mergeCell ref="A4:A12"/>
    <mergeCell ref="A13:A21"/>
    <mergeCell ref="B19:B21"/>
    <mergeCell ref="B4:B6"/>
    <mergeCell ref="B7:B9"/>
    <mergeCell ref="B10:B12"/>
    <mergeCell ref="B13:B15"/>
    <mergeCell ref="B16:B18"/>
    <mergeCell ref="D2:H2"/>
    <mergeCell ref="I2:M2"/>
    <mergeCell ref="N2:R2"/>
    <mergeCell ref="A2:A3"/>
    <mergeCell ref="B2:B3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A8E1-F169-4F76-BA5B-E15F6265510D}">
  <dimension ref="A1:G36"/>
  <sheetViews>
    <sheetView workbookViewId="0">
      <selection activeCell="D26" sqref="D26"/>
    </sheetView>
  </sheetViews>
  <sheetFormatPr baseColWidth="10" defaultRowHeight="14.4" x14ac:dyDescent="0.3"/>
  <cols>
    <col min="1" max="1" width="10.33203125" style="1" customWidth="1"/>
    <col min="2" max="2" width="8.6640625" style="1" bestFit="1" customWidth="1"/>
    <col min="3" max="3" width="6.88671875" style="1" bestFit="1" customWidth="1"/>
    <col min="4" max="6" width="17.5546875" style="1" customWidth="1"/>
    <col min="7" max="16384" width="11.5546875" style="1"/>
  </cols>
  <sheetData>
    <row r="1" spans="1:7" customFormat="1" x14ac:dyDescent="0.3"/>
    <row r="2" spans="1:7" customFormat="1" ht="27.6" x14ac:dyDescent="0.3">
      <c r="A2" s="23" t="s">
        <v>19</v>
      </c>
      <c r="B2" s="23" t="s">
        <v>20</v>
      </c>
      <c r="C2" s="23" t="s">
        <v>13</v>
      </c>
      <c r="D2" s="16" t="s">
        <v>16</v>
      </c>
      <c r="E2" s="16" t="s">
        <v>15</v>
      </c>
      <c r="F2" s="16" t="s">
        <v>18</v>
      </c>
    </row>
    <row r="3" spans="1:7" s="4" customFormat="1" x14ac:dyDescent="0.3">
      <c r="A3" s="24"/>
      <c r="B3" s="24"/>
      <c r="C3" s="24"/>
      <c r="D3" s="12" t="s">
        <v>12</v>
      </c>
      <c r="E3" s="13" t="s">
        <v>12</v>
      </c>
      <c r="F3" s="14" t="s">
        <v>12</v>
      </c>
    </row>
    <row r="4" spans="1:7" x14ac:dyDescent="0.3">
      <c r="A4" s="21" t="s">
        <v>1</v>
      </c>
      <c r="B4" s="22" t="s">
        <v>0</v>
      </c>
      <c r="C4" s="15" t="s">
        <v>3</v>
      </c>
      <c r="D4" s="25">
        <v>48.11</v>
      </c>
      <c r="E4" s="27">
        <v>47.35</v>
      </c>
      <c r="F4" s="29">
        <v>50.75</v>
      </c>
      <c r="G4" s="11"/>
    </row>
    <row r="5" spans="1:7" x14ac:dyDescent="0.3">
      <c r="A5" s="21"/>
      <c r="B5" s="22"/>
      <c r="C5" s="15" t="s">
        <v>4</v>
      </c>
      <c r="D5" s="25">
        <v>46.78</v>
      </c>
      <c r="E5" s="27">
        <v>46.77</v>
      </c>
      <c r="F5" s="29">
        <v>47.06</v>
      </c>
      <c r="G5" s="11"/>
    </row>
    <row r="6" spans="1:7" x14ac:dyDescent="0.3">
      <c r="A6" s="21"/>
      <c r="B6" s="22"/>
      <c r="C6" s="15" t="s">
        <v>5</v>
      </c>
      <c r="D6" s="25">
        <v>48.33</v>
      </c>
      <c r="E6" s="27">
        <v>48.47</v>
      </c>
      <c r="F6" s="29">
        <v>41.18</v>
      </c>
      <c r="G6" s="11"/>
    </row>
    <row r="7" spans="1:7" x14ac:dyDescent="0.3">
      <c r="A7" s="21"/>
      <c r="B7" s="22" t="s">
        <v>10</v>
      </c>
      <c r="C7" s="15" t="s">
        <v>3</v>
      </c>
      <c r="D7" s="26">
        <v>37.22</v>
      </c>
      <c r="E7" s="28">
        <v>37.909999999999997</v>
      </c>
      <c r="F7" s="30">
        <v>34.83</v>
      </c>
      <c r="G7" s="11"/>
    </row>
    <row r="8" spans="1:7" x14ac:dyDescent="0.3">
      <c r="A8" s="21"/>
      <c r="B8" s="22"/>
      <c r="C8" s="15" t="s">
        <v>4</v>
      </c>
      <c r="D8" s="26">
        <v>36.78</v>
      </c>
      <c r="E8" s="28">
        <v>37.15</v>
      </c>
      <c r="F8" s="30">
        <v>17.649999999999999</v>
      </c>
      <c r="G8" s="11"/>
    </row>
    <row r="9" spans="1:7" x14ac:dyDescent="0.3">
      <c r="A9" s="21"/>
      <c r="B9" s="22"/>
      <c r="C9" s="15" t="s">
        <v>5</v>
      </c>
      <c r="D9" s="26">
        <v>38.44</v>
      </c>
      <c r="E9" s="28">
        <v>38.729999999999997</v>
      </c>
      <c r="F9" s="30">
        <v>23.53</v>
      </c>
      <c r="G9" s="11"/>
    </row>
    <row r="10" spans="1:7" x14ac:dyDescent="0.3">
      <c r="A10" s="21"/>
      <c r="B10" s="22" t="s">
        <v>11</v>
      </c>
      <c r="C10" s="15" t="s">
        <v>3</v>
      </c>
      <c r="D10" s="25">
        <v>36.67</v>
      </c>
      <c r="E10" s="27">
        <v>37.909999999999997</v>
      </c>
      <c r="F10" s="29">
        <v>41.79</v>
      </c>
      <c r="G10" s="11"/>
    </row>
    <row r="11" spans="1:7" x14ac:dyDescent="0.3">
      <c r="A11" s="21"/>
      <c r="B11" s="22"/>
      <c r="C11" s="15" t="s">
        <v>4</v>
      </c>
      <c r="D11" s="25">
        <v>42.22</v>
      </c>
      <c r="E11" s="27">
        <v>42.13</v>
      </c>
      <c r="F11" s="29">
        <v>47.06</v>
      </c>
      <c r="G11" s="11"/>
    </row>
    <row r="12" spans="1:7" x14ac:dyDescent="0.3">
      <c r="A12" s="21"/>
      <c r="B12" s="22"/>
      <c r="C12" s="15" t="s">
        <v>5</v>
      </c>
      <c r="D12" s="25">
        <v>42.78</v>
      </c>
      <c r="E12" s="27">
        <v>42.58</v>
      </c>
      <c r="F12" s="29">
        <v>52.94</v>
      </c>
      <c r="G12" s="11"/>
    </row>
    <row r="13" spans="1:7" x14ac:dyDescent="0.3">
      <c r="A13" s="21" t="s">
        <v>2</v>
      </c>
      <c r="B13" s="22" t="s">
        <v>0</v>
      </c>
      <c r="C13" s="15" t="s">
        <v>3</v>
      </c>
      <c r="D13" s="26">
        <v>45.44</v>
      </c>
      <c r="E13" s="28">
        <v>45.56</v>
      </c>
      <c r="F13" s="30">
        <v>45.37</v>
      </c>
      <c r="G13" s="11"/>
    </row>
    <row r="14" spans="1:7" x14ac:dyDescent="0.3">
      <c r="A14" s="21"/>
      <c r="B14" s="22"/>
      <c r="C14" s="15" t="s">
        <v>4</v>
      </c>
      <c r="D14" s="26">
        <v>47.67</v>
      </c>
      <c r="E14" s="28">
        <v>48.04</v>
      </c>
      <c r="F14" s="30">
        <v>47.42</v>
      </c>
      <c r="G14" s="11"/>
    </row>
    <row r="15" spans="1:7" x14ac:dyDescent="0.3">
      <c r="A15" s="21"/>
      <c r="B15" s="22"/>
      <c r="C15" s="15" t="s">
        <v>5</v>
      </c>
      <c r="D15" s="26">
        <v>47.44</v>
      </c>
      <c r="E15" s="28">
        <v>46.02</v>
      </c>
      <c r="F15" s="30">
        <v>48.36</v>
      </c>
      <c r="G15" s="11"/>
    </row>
    <row r="16" spans="1:7" x14ac:dyDescent="0.3">
      <c r="A16" s="21"/>
      <c r="B16" s="22" t="s">
        <v>10</v>
      </c>
      <c r="C16" s="15" t="s">
        <v>3</v>
      </c>
      <c r="D16" s="25">
        <v>39.67</v>
      </c>
      <c r="E16" s="27">
        <v>42.5</v>
      </c>
      <c r="F16" s="29">
        <v>37.78</v>
      </c>
      <c r="G16" s="11"/>
    </row>
    <row r="17" spans="1:7" x14ac:dyDescent="0.3">
      <c r="A17" s="21"/>
      <c r="B17" s="22"/>
      <c r="C17" s="15" t="s">
        <v>4</v>
      </c>
      <c r="D17" s="25">
        <v>44.89</v>
      </c>
      <c r="E17" s="27">
        <v>42.5</v>
      </c>
      <c r="F17" s="29">
        <v>38.89</v>
      </c>
      <c r="G17" s="11"/>
    </row>
    <row r="18" spans="1:7" x14ac:dyDescent="0.3">
      <c r="A18" s="21"/>
      <c r="B18" s="22"/>
      <c r="C18" s="15" t="s">
        <v>5</v>
      </c>
      <c r="D18" s="25">
        <v>40.11</v>
      </c>
      <c r="E18" s="27">
        <v>41.5</v>
      </c>
      <c r="F18" s="29">
        <v>39.19</v>
      </c>
      <c r="G18" s="11"/>
    </row>
    <row r="19" spans="1:7" x14ac:dyDescent="0.3">
      <c r="A19" s="21"/>
      <c r="B19" s="22" t="s">
        <v>11</v>
      </c>
      <c r="C19" s="15" t="s">
        <v>3</v>
      </c>
      <c r="D19" s="26">
        <v>32</v>
      </c>
      <c r="E19" s="28">
        <v>28.89</v>
      </c>
      <c r="F19" s="30">
        <v>34.07</v>
      </c>
      <c r="G19" s="11"/>
    </row>
    <row r="20" spans="1:7" x14ac:dyDescent="0.3">
      <c r="A20" s="21"/>
      <c r="B20" s="22"/>
      <c r="C20" s="15" t="s">
        <v>4</v>
      </c>
      <c r="D20" s="26">
        <v>40.33</v>
      </c>
      <c r="E20" s="28">
        <v>46.11</v>
      </c>
      <c r="F20" s="30">
        <v>44.07</v>
      </c>
      <c r="G20" s="11"/>
    </row>
    <row r="21" spans="1:7" x14ac:dyDescent="0.3">
      <c r="A21" s="21"/>
      <c r="B21" s="22"/>
      <c r="C21" s="15" t="s">
        <v>5</v>
      </c>
      <c r="D21" s="26">
        <v>44.56</v>
      </c>
      <c r="E21" s="28">
        <v>47.08</v>
      </c>
      <c r="F21" s="30">
        <v>42.88</v>
      </c>
      <c r="G21" s="11"/>
    </row>
    <row r="22" spans="1:7" x14ac:dyDescent="0.3">
      <c r="A22"/>
      <c r="B22"/>
      <c r="C22"/>
    </row>
    <row r="23" spans="1:7" x14ac:dyDescent="0.3">
      <c r="A23"/>
      <c r="B23"/>
      <c r="C23"/>
    </row>
    <row r="24" spans="1:7" ht="27.6" x14ac:dyDescent="0.3">
      <c r="A24"/>
      <c r="B24" s="23" t="s">
        <v>20</v>
      </c>
      <c r="C24" s="23" t="s">
        <v>13</v>
      </c>
      <c r="D24" s="16" t="s">
        <v>16</v>
      </c>
      <c r="E24" s="16" t="s">
        <v>15</v>
      </c>
      <c r="F24" s="16" t="s">
        <v>18</v>
      </c>
    </row>
    <row r="25" spans="1:7" x14ac:dyDescent="0.3">
      <c r="A25"/>
      <c r="B25" s="24"/>
      <c r="C25" s="24"/>
      <c r="D25" s="12" t="s">
        <v>12</v>
      </c>
      <c r="E25" s="13" t="s">
        <v>12</v>
      </c>
      <c r="F25" s="14" t="s">
        <v>12</v>
      </c>
    </row>
    <row r="26" spans="1:7" x14ac:dyDescent="0.3">
      <c r="A26"/>
      <c r="B26" s="22" t="s">
        <v>1</v>
      </c>
      <c r="C26" s="15" t="s">
        <v>3</v>
      </c>
      <c r="D26" s="31">
        <f>(D4+D7+D10)/3</f>
        <v>40.666666666666664</v>
      </c>
      <c r="E26" s="31">
        <f>(E4+E7+E10)/3</f>
        <v>41.056666666666665</v>
      </c>
      <c r="F26" s="31">
        <f>(F4+F7+F10)/3</f>
        <v>42.456666666666671</v>
      </c>
    </row>
    <row r="27" spans="1:7" x14ac:dyDescent="0.3">
      <c r="A27"/>
      <c r="B27" s="22"/>
      <c r="C27" s="15" t="s">
        <v>4</v>
      </c>
      <c r="D27" s="31">
        <f>(D5+D8+D11)/3</f>
        <v>41.926666666666669</v>
      </c>
      <c r="E27" s="31">
        <f>(E5+E8+E11)/3</f>
        <v>42.016666666666673</v>
      </c>
      <c r="F27" s="31">
        <f>(F5+F8+F11)/3</f>
        <v>37.256666666666668</v>
      </c>
    </row>
    <row r="28" spans="1:7" x14ac:dyDescent="0.3">
      <c r="A28"/>
      <c r="B28" s="22"/>
      <c r="C28" s="15" t="s">
        <v>5</v>
      </c>
      <c r="D28" s="31">
        <f>(D6+D9+D12)/3</f>
        <v>43.183333333333337</v>
      </c>
      <c r="E28" s="31">
        <f t="shared" ref="E28:F28" si="0">(E6+E9+E12)/3</f>
        <v>43.259999999999991</v>
      </c>
      <c r="F28" s="31">
        <f t="shared" si="0"/>
        <v>39.216666666666669</v>
      </c>
    </row>
    <row r="29" spans="1:7" x14ac:dyDescent="0.3">
      <c r="A29"/>
      <c r="B29" s="22" t="s">
        <v>2</v>
      </c>
      <c r="C29" s="15" t="s">
        <v>3</v>
      </c>
      <c r="D29" s="31">
        <f>(D13+D16+D19)/3</f>
        <v>39.036666666666669</v>
      </c>
      <c r="E29" s="31">
        <f t="shared" ref="E29:F29" si="1">(E13+E16+E19)/3</f>
        <v>38.983333333333334</v>
      </c>
      <c r="F29" s="31">
        <f t="shared" si="1"/>
        <v>39.073333333333331</v>
      </c>
    </row>
    <row r="30" spans="1:7" x14ac:dyDescent="0.3">
      <c r="A30"/>
      <c r="B30" s="22"/>
      <c r="C30" s="15" t="s">
        <v>4</v>
      </c>
      <c r="D30" s="31">
        <f>(D14+D17+D20)/3</f>
        <v>44.29666666666666</v>
      </c>
      <c r="E30" s="31">
        <f t="shared" ref="E30:F30" si="2">(E14+E17+E20)/3</f>
        <v>45.54999999999999</v>
      </c>
      <c r="F30" s="31">
        <f t="shared" si="2"/>
        <v>43.46</v>
      </c>
    </row>
    <row r="31" spans="1:7" x14ac:dyDescent="0.3">
      <c r="A31"/>
      <c r="B31" s="22"/>
      <c r="C31" s="15" t="s">
        <v>5</v>
      </c>
      <c r="D31" s="31">
        <f>(D15+D18+D21)/3</f>
        <v>44.036666666666669</v>
      </c>
      <c r="E31" s="31">
        <f t="shared" ref="E31:F31" si="3">(E15+E18+E21)/3</f>
        <v>44.866666666666674</v>
      </c>
      <c r="F31" s="31">
        <f t="shared" si="3"/>
        <v>43.476666666666667</v>
      </c>
    </row>
    <row r="32" spans="1:7" customFormat="1" x14ac:dyDescent="0.3"/>
    <row r="33" customFormat="1" x14ac:dyDescent="0.3"/>
    <row r="34" customFormat="1" x14ac:dyDescent="0.3"/>
    <row r="35" customFormat="1" x14ac:dyDescent="0.3"/>
    <row r="36" customFormat="1" x14ac:dyDescent="0.3"/>
  </sheetData>
  <mergeCells count="15">
    <mergeCell ref="B26:B28"/>
    <mergeCell ref="B29:B31"/>
    <mergeCell ref="A2:A3"/>
    <mergeCell ref="B2:B3"/>
    <mergeCell ref="C2:C3"/>
    <mergeCell ref="B24:B25"/>
    <mergeCell ref="C24:C25"/>
    <mergeCell ref="A4:A12"/>
    <mergeCell ref="B4:B6"/>
    <mergeCell ref="B7:B9"/>
    <mergeCell ref="B10:B12"/>
    <mergeCell ref="A13:A21"/>
    <mergeCell ref="B13:B15"/>
    <mergeCell ref="B16:B18"/>
    <mergeCell ref="B19:B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BDDE-5661-4AAE-9319-A4E4E65ECFB7}">
  <dimension ref="B2:G13"/>
  <sheetViews>
    <sheetView zoomScale="90" zoomScaleNormal="90" workbookViewId="0">
      <selection activeCell="R11" sqref="R11"/>
    </sheetView>
  </sheetViews>
  <sheetFormatPr baseColWidth="10" defaultRowHeight="14.4" x14ac:dyDescent="0.3"/>
  <sheetData>
    <row r="2" spans="2:7" x14ac:dyDescent="0.3">
      <c r="B2" s="34" t="s">
        <v>21</v>
      </c>
      <c r="C2" s="34"/>
      <c r="D2" s="32" t="s">
        <v>0</v>
      </c>
      <c r="E2" s="32" t="s">
        <v>10</v>
      </c>
      <c r="F2" s="32" t="s">
        <v>11</v>
      </c>
    </row>
    <row r="3" spans="2:7" x14ac:dyDescent="0.3">
      <c r="B3" s="35" t="s">
        <v>22</v>
      </c>
      <c r="C3" s="35"/>
      <c r="D3" s="33">
        <v>45.72</v>
      </c>
      <c r="E3" s="33">
        <v>43.22</v>
      </c>
      <c r="F3" s="33">
        <v>35.729999999999997</v>
      </c>
      <c r="G3" s="39">
        <f>AVERAGE(D3:F3)</f>
        <v>41.556666666666665</v>
      </c>
    </row>
    <row r="4" spans="2:7" x14ac:dyDescent="0.3">
      <c r="B4" s="35" t="s">
        <v>23</v>
      </c>
      <c r="C4" s="35"/>
      <c r="D4" s="38">
        <v>47.8</v>
      </c>
      <c r="E4" s="33">
        <v>43.52</v>
      </c>
      <c r="F4" s="33">
        <v>44.08</v>
      </c>
      <c r="G4" s="39">
        <f t="shared" ref="G4:G11" si="0">AVERAGE(D4:F4)</f>
        <v>45.133333333333326</v>
      </c>
    </row>
    <row r="5" spans="2:7" x14ac:dyDescent="0.3">
      <c r="B5" s="35" t="s">
        <v>24</v>
      </c>
      <c r="C5" s="35"/>
      <c r="D5" s="41">
        <v>48.37</v>
      </c>
      <c r="E5" s="33">
        <v>43.8</v>
      </c>
      <c r="F5" s="33">
        <v>43.92</v>
      </c>
      <c r="G5" s="40">
        <f t="shared" si="0"/>
        <v>45.363333333333323</v>
      </c>
    </row>
    <row r="6" spans="2:7" x14ac:dyDescent="0.3">
      <c r="B6" s="35" t="s">
        <v>1</v>
      </c>
      <c r="C6" s="36" t="s">
        <v>3</v>
      </c>
      <c r="D6" s="33">
        <v>48.11</v>
      </c>
      <c r="E6" s="33">
        <v>48.33</v>
      </c>
      <c r="F6" s="33">
        <v>36.67</v>
      </c>
      <c r="G6" s="39">
        <f t="shared" si="0"/>
        <v>44.370000000000005</v>
      </c>
    </row>
    <row r="7" spans="2:7" x14ac:dyDescent="0.3">
      <c r="B7" s="35"/>
      <c r="C7" s="36" t="s">
        <v>4</v>
      </c>
      <c r="D7" s="33">
        <v>46.78</v>
      </c>
      <c r="E7" s="33">
        <v>36.78</v>
      </c>
      <c r="F7" s="33">
        <v>42.22</v>
      </c>
      <c r="G7" s="39">
        <f t="shared" si="0"/>
        <v>41.926666666666669</v>
      </c>
    </row>
    <row r="8" spans="2:7" x14ac:dyDescent="0.3">
      <c r="B8" s="35"/>
      <c r="C8" s="37" t="s">
        <v>5</v>
      </c>
      <c r="D8" s="33">
        <v>48.33</v>
      </c>
      <c r="E8" s="33">
        <v>38.44</v>
      </c>
      <c r="F8" s="33">
        <v>42.78</v>
      </c>
      <c r="G8" s="39">
        <f t="shared" si="0"/>
        <v>43.183333333333337</v>
      </c>
    </row>
    <row r="9" spans="2:7" x14ac:dyDescent="0.3">
      <c r="B9" s="35" t="s">
        <v>2</v>
      </c>
      <c r="C9" s="37" t="s">
        <v>3</v>
      </c>
      <c r="D9" s="33">
        <v>45.44</v>
      </c>
      <c r="E9" s="33">
        <v>39.67</v>
      </c>
      <c r="F9" s="38">
        <v>32</v>
      </c>
      <c r="G9" s="39">
        <f t="shared" si="0"/>
        <v>39.036666666666669</v>
      </c>
    </row>
    <row r="10" spans="2:7" x14ac:dyDescent="0.3">
      <c r="B10" s="35"/>
      <c r="C10" s="37" t="s">
        <v>4</v>
      </c>
      <c r="D10" s="33">
        <v>47.67</v>
      </c>
      <c r="E10" s="33">
        <v>44.89</v>
      </c>
      <c r="F10" s="33">
        <v>40.33</v>
      </c>
      <c r="G10" s="39">
        <f t="shared" si="0"/>
        <v>44.29666666666666</v>
      </c>
    </row>
    <row r="11" spans="2:7" x14ac:dyDescent="0.3">
      <c r="B11" s="35"/>
      <c r="C11" s="37" t="s">
        <v>5</v>
      </c>
      <c r="D11" s="33">
        <v>47.44</v>
      </c>
      <c r="E11" s="33">
        <v>40.11</v>
      </c>
      <c r="F11" s="33">
        <v>44.56</v>
      </c>
      <c r="G11" s="39">
        <f t="shared" si="0"/>
        <v>44.036666666666669</v>
      </c>
    </row>
    <row r="13" spans="2:7" x14ac:dyDescent="0.3">
      <c r="D13" s="40">
        <f>AVERAGE(D3:D11)</f>
        <v>47.295555555555559</v>
      </c>
      <c r="E13" s="39">
        <f t="shared" ref="E13:F13" si="1">AVERAGE(E3:E11)</f>
        <v>42.084444444444443</v>
      </c>
      <c r="F13" s="39">
        <f t="shared" si="1"/>
        <v>40.254444444444438</v>
      </c>
    </row>
  </sheetData>
  <mergeCells count="6">
    <mergeCell ref="B2:C2"/>
    <mergeCell ref="B3:C3"/>
    <mergeCell ref="B4:C4"/>
    <mergeCell ref="B5:C5"/>
    <mergeCell ref="B6:B8"/>
    <mergeCell ref="B9:B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RAG - Prueba Medicina</vt:lpstr>
      <vt:lpstr>Gráficas</vt:lpstr>
      <vt:lpstr>Comparativa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Ariceta García</dc:creator>
  <cp:lastModifiedBy>Lorena Ariceta García</cp:lastModifiedBy>
  <dcterms:created xsi:type="dcterms:W3CDTF">2025-10-09T22:44:31Z</dcterms:created>
  <dcterms:modified xsi:type="dcterms:W3CDTF">2025-10-15T15:13:06Z</dcterms:modified>
</cp:coreProperties>
</file>