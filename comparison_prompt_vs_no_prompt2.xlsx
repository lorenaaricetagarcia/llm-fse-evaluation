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d56eb89965c5422/Escritorio/TFM_UCM/"/>
    </mc:Choice>
  </mc:AlternateContent>
  <xr:revisionPtr revIDLastSave="81" documentId="8_{E18342AC-1F8B-421B-AFE2-F34052B9F208}" xr6:coauthVersionLast="47" xr6:coauthVersionMax="47" xr10:uidLastSave="{D88189D2-D50D-4FCD-9DC4-1859C040A178}"/>
  <bookViews>
    <workbookView xWindow="-108" yWindow="-108" windowWidth="23256" windowHeight="12456" activeTab="2" xr2:uid="{00000000-000D-0000-FFFF-FFFF00000000}"/>
  </bookViews>
  <sheets>
    <sheet name="RAG" sheetId="12" r:id="rId1"/>
    <sheet name="Prueba_BIOLOGIA_2020" sheetId="1" r:id="rId2"/>
    <sheet name="Global" sheetId="2" r:id="rId3"/>
    <sheet name="Grafícas" sheetId="11" r:id="rId4"/>
    <sheet name="MEDICINA" sheetId="7" r:id="rId5"/>
    <sheet name="ENFERMERÍA" sheetId="4" r:id="rId6"/>
    <sheet name="BIOLOGÍA" sheetId="3" r:id="rId7"/>
    <sheet name="FARMACIA" sheetId="5" r:id="rId8"/>
    <sheet name="PSICOLOGÍA" sheetId="8" r:id="rId9"/>
    <sheet name="FÍSICA" sheetId="6" r:id="rId10"/>
    <sheet name="QUÍMICA" sheetId="9" r:id="rId11"/>
  </sheets>
  <definedNames>
    <definedName name="_xlnm._FilterDatabase" localSheetId="6" hidden="1">BIOLOGÍA!$S$18:$T$18</definedName>
    <definedName name="_xlnm._FilterDatabase" localSheetId="5" hidden="1">ENFERMERÍA!$T$16:$U$16</definedName>
    <definedName name="_xlnm._FilterDatabase" localSheetId="7" hidden="1">FARMACIA!$T$17:$U$17</definedName>
    <definedName name="_xlnm._FilterDatabase" localSheetId="9" hidden="1">FÍSICA!$T$21:$U$21</definedName>
    <definedName name="_xlnm._FilterDatabase" localSheetId="2" hidden="1">Global!$O$29:$P$29</definedName>
    <definedName name="_xlnm._FilterDatabase" localSheetId="4" hidden="1">MEDICINA!$S$13:$T$13</definedName>
    <definedName name="_xlnm._FilterDatabase" localSheetId="1" hidden="1">Prueba_BIOLOGIA_2020!$K$28:$L$28</definedName>
    <definedName name="_xlnm._FilterDatabase" localSheetId="8" hidden="1">PSICOLOGÍA!$V$14:$W$14</definedName>
    <definedName name="_xlnm._FilterDatabase" localSheetId="10" hidden="1">QUÍMICA!$O$28:$P$28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2" l="1"/>
  <c r="H22" i="12"/>
  <c r="H21" i="12"/>
  <c r="H15" i="12"/>
  <c r="H14" i="12"/>
  <c r="H13" i="12"/>
  <c r="H6" i="12"/>
  <c r="H5" i="12"/>
  <c r="H4" i="12"/>
  <c r="H19" i="9"/>
  <c r="I5" i="9" l="1"/>
  <c r="I6" i="9"/>
  <c r="I7" i="9"/>
  <c r="I8" i="9"/>
  <c r="I9" i="9"/>
  <c r="I10" i="9"/>
  <c r="I11" i="9"/>
  <c r="I12" i="9"/>
  <c r="I13" i="9"/>
  <c r="I14" i="9"/>
  <c r="I15" i="9"/>
  <c r="I16" i="9"/>
  <c r="I17" i="9"/>
  <c r="I4" i="9"/>
  <c r="E20" i="2"/>
  <c r="F20" i="2"/>
  <c r="G20" i="2"/>
  <c r="I20" i="2" s="1"/>
  <c r="D20" i="2"/>
  <c r="G14" i="2"/>
  <c r="I14" i="2" s="1"/>
  <c r="E14" i="2"/>
  <c r="F14" i="2"/>
  <c r="D14" i="2"/>
  <c r="E11" i="2"/>
  <c r="F11" i="2"/>
  <c r="G11" i="2"/>
  <c r="I11" i="2" s="1"/>
  <c r="D11" i="2"/>
  <c r="E8" i="2"/>
  <c r="F8" i="2"/>
  <c r="G8" i="2"/>
  <c r="I8" i="2" s="1"/>
  <c r="D8" i="2"/>
  <c r="G5" i="2"/>
  <c r="I5" i="2" s="1"/>
  <c r="E5" i="2"/>
  <c r="F5" i="2"/>
  <c r="D5" i="2"/>
  <c r="I23" i="9"/>
  <c r="I22" i="9"/>
  <c r="I21" i="9"/>
  <c r="I20" i="9"/>
  <c r="I19" i="9"/>
  <c r="I23" i="6"/>
  <c r="I22" i="6"/>
  <c r="I21" i="6"/>
  <c r="I20" i="6"/>
  <c r="I19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23" i="8"/>
  <c r="I22" i="8"/>
  <c r="I21" i="8"/>
  <c r="I20" i="8"/>
  <c r="I19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23" i="5"/>
  <c r="I22" i="5"/>
  <c r="I21" i="5"/>
  <c r="I20" i="5"/>
  <c r="I19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23" i="3"/>
  <c r="I22" i="3"/>
  <c r="I21" i="3"/>
  <c r="I20" i="3"/>
  <c r="I19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23" i="4"/>
  <c r="I22" i="4"/>
  <c r="I21" i="4"/>
  <c r="I20" i="4"/>
  <c r="I19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23" i="7"/>
  <c r="I22" i="7"/>
  <c r="I21" i="7"/>
  <c r="I20" i="7"/>
  <c r="I19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23" i="2"/>
  <c r="I22" i="2"/>
  <c r="I21" i="2"/>
  <c r="I19" i="2"/>
  <c r="I17" i="2"/>
  <c r="I16" i="2"/>
  <c r="I15" i="2"/>
  <c r="I13" i="2"/>
  <c r="I12" i="2"/>
  <c r="I10" i="2"/>
  <c r="I9" i="2"/>
  <c r="I7" i="2"/>
  <c r="I6" i="2"/>
  <c r="I4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9" i="1"/>
  <c r="I20" i="1"/>
  <c r="I21" i="1"/>
  <c r="I22" i="1"/>
  <c r="I23" i="1"/>
  <c r="I4" i="1"/>
  <c r="D31" i="1"/>
  <c r="C31" i="1"/>
  <c r="D31" i="9"/>
  <c r="C31" i="9"/>
  <c r="H23" i="9"/>
  <c r="H22" i="9"/>
  <c r="H21" i="9"/>
  <c r="H20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D31" i="6"/>
  <c r="C31" i="6"/>
  <c r="H23" i="6"/>
  <c r="H22" i="6"/>
  <c r="H21" i="6"/>
  <c r="H20" i="6"/>
  <c r="H19" i="6"/>
  <c r="H17" i="6"/>
  <c r="H16" i="6"/>
  <c r="H15" i="6"/>
  <c r="H14" i="6"/>
  <c r="H13" i="6"/>
  <c r="H12" i="6"/>
  <c r="H11" i="6"/>
  <c r="H10" i="6"/>
  <c r="H9" i="6"/>
  <c r="H8" i="6"/>
  <c r="H7" i="6"/>
  <c r="P5" i="6" s="1"/>
  <c r="H6" i="6"/>
  <c r="H5" i="6"/>
  <c r="H4" i="6"/>
  <c r="D31" i="8"/>
  <c r="C31" i="8"/>
  <c r="H23" i="8"/>
  <c r="H22" i="8"/>
  <c r="H21" i="8"/>
  <c r="H20" i="8"/>
  <c r="H19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D31" i="5"/>
  <c r="C31" i="5"/>
  <c r="H23" i="5"/>
  <c r="H22" i="5"/>
  <c r="H21" i="5"/>
  <c r="H20" i="5"/>
  <c r="H19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D31" i="3"/>
  <c r="C31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D31" i="4"/>
  <c r="C31" i="4"/>
  <c r="H23" i="4"/>
  <c r="H22" i="4"/>
  <c r="H21" i="4"/>
  <c r="H20" i="4"/>
  <c r="H19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D31" i="7"/>
  <c r="C31" i="7"/>
  <c r="H23" i="7"/>
  <c r="H22" i="7"/>
  <c r="H21" i="7"/>
  <c r="H20" i="7"/>
  <c r="H19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D31" i="2"/>
  <c r="C31" i="2"/>
  <c r="H6" i="2"/>
  <c r="H7" i="2"/>
  <c r="H9" i="2"/>
  <c r="H10" i="2"/>
  <c r="H12" i="2"/>
  <c r="H13" i="2"/>
  <c r="H15" i="2"/>
  <c r="H16" i="2"/>
  <c r="H17" i="2"/>
  <c r="H19" i="2"/>
  <c r="H21" i="2"/>
  <c r="H22" i="2"/>
  <c r="H23" i="2"/>
  <c r="H7" i="1"/>
  <c r="H8" i="1"/>
  <c r="H9" i="1"/>
  <c r="H10" i="1"/>
  <c r="H11" i="1"/>
  <c r="H12" i="1"/>
  <c r="H13" i="1"/>
  <c r="H14" i="1"/>
  <c r="H15" i="1"/>
  <c r="H16" i="1"/>
  <c r="H17" i="1"/>
  <c r="H19" i="1"/>
  <c r="H20" i="1"/>
  <c r="H21" i="1"/>
  <c r="H22" i="1"/>
  <c r="H23" i="1"/>
  <c r="M10" i="1" s="1"/>
  <c r="H5" i="1"/>
  <c r="H6" i="1"/>
  <c r="H4" i="1"/>
  <c r="N8" i="6" l="1"/>
  <c r="O10" i="8"/>
  <c r="P4" i="5"/>
  <c r="O8" i="5"/>
  <c r="H11" i="2"/>
  <c r="L6" i="2" s="1"/>
  <c r="H8" i="2"/>
  <c r="N5" i="2" s="1"/>
  <c r="N8" i="7"/>
  <c r="H20" i="2"/>
  <c r="N9" i="2" s="1"/>
  <c r="H14" i="2"/>
  <c r="N7" i="2" s="1"/>
  <c r="H5" i="2"/>
  <c r="L4" i="2" s="1"/>
  <c r="H4" i="2"/>
  <c r="N5" i="9"/>
  <c r="N4" i="7"/>
  <c r="N5" i="5"/>
  <c r="P6" i="9"/>
  <c r="N8" i="8"/>
  <c r="N4" i="8"/>
  <c r="O10" i="3"/>
  <c r="N6" i="3"/>
  <c r="N6" i="4"/>
  <c r="P5" i="2"/>
  <c r="P7" i="1"/>
  <c r="P8" i="9"/>
  <c r="P5" i="9"/>
  <c r="N9" i="9"/>
  <c r="N7" i="9"/>
  <c r="N5" i="8"/>
  <c r="P10" i="8"/>
  <c r="N4" i="5"/>
  <c r="P5" i="5"/>
  <c r="M8" i="5"/>
  <c r="N5" i="3"/>
  <c r="O8" i="3"/>
  <c r="P5" i="3"/>
  <c r="N4" i="3"/>
  <c r="L9" i="3"/>
  <c r="P8" i="2"/>
  <c r="L9" i="7"/>
  <c r="L4" i="3"/>
  <c r="L9" i="5"/>
  <c r="P10" i="5"/>
  <c r="P10" i="9"/>
  <c r="M10" i="9"/>
  <c r="N6" i="9"/>
  <c r="P9" i="9"/>
  <c r="P4" i="9"/>
  <c r="M8" i="6"/>
  <c r="P9" i="6"/>
  <c r="L4" i="8"/>
  <c r="L6" i="8"/>
  <c r="O8" i="8"/>
  <c r="M8" i="8"/>
  <c r="N7" i="5"/>
  <c r="N10" i="5"/>
  <c r="P7" i="5"/>
  <c r="N8" i="5"/>
  <c r="P9" i="5"/>
  <c r="N8" i="3"/>
  <c r="N7" i="3"/>
  <c r="N10" i="3"/>
  <c r="P7" i="3"/>
  <c r="P10" i="3"/>
  <c r="P9" i="3"/>
  <c r="P6" i="3"/>
  <c r="L5" i="7"/>
  <c r="P6" i="7"/>
  <c r="P9" i="7"/>
  <c r="L6" i="7"/>
  <c r="M10" i="4"/>
  <c r="O8" i="7"/>
  <c r="P10" i="7"/>
  <c r="P4" i="7"/>
  <c r="P7" i="9"/>
  <c r="N10" i="9"/>
  <c r="N4" i="9"/>
  <c r="L5" i="9"/>
  <c r="O10" i="9"/>
  <c r="M8" i="9"/>
  <c r="N8" i="9"/>
  <c r="L6" i="9"/>
  <c r="L4" i="9"/>
  <c r="O8" i="9"/>
  <c r="M10" i="6"/>
  <c r="L6" i="6"/>
  <c r="L4" i="6"/>
  <c r="N9" i="6"/>
  <c r="N7" i="8"/>
  <c r="M10" i="8"/>
  <c r="P7" i="8"/>
  <c r="P5" i="8"/>
  <c r="P6" i="5"/>
  <c r="M10" i="5"/>
  <c r="L5" i="5"/>
  <c r="O10" i="5"/>
  <c r="P4" i="3"/>
  <c r="L7" i="3"/>
  <c r="M10" i="3"/>
  <c r="P8" i="3"/>
  <c r="L5" i="3"/>
  <c r="M8" i="3"/>
  <c r="L6" i="3"/>
  <c r="N8" i="4"/>
  <c r="N10" i="4"/>
  <c r="N4" i="4"/>
  <c r="N10" i="7"/>
  <c r="P7" i="7"/>
  <c r="P5" i="7"/>
  <c r="P8" i="7"/>
  <c r="N7" i="7"/>
  <c r="L4" i="7"/>
  <c r="O10" i="7"/>
  <c r="M8" i="7"/>
  <c r="N9" i="7"/>
  <c r="P8" i="5"/>
  <c r="L7" i="5"/>
  <c r="L6" i="5"/>
  <c r="L4" i="5"/>
  <c r="L9" i="8"/>
  <c r="P9" i="8"/>
  <c r="P8" i="8"/>
  <c r="P6" i="8"/>
  <c r="L5" i="8"/>
  <c r="P4" i="8"/>
  <c r="P10" i="6"/>
  <c r="L9" i="6"/>
  <c r="P8" i="6"/>
  <c r="L7" i="6"/>
  <c r="P7" i="6"/>
  <c r="P6" i="6"/>
  <c r="L5" i="6"/>
  <c r="P4" i="6"/>
  <c r="P9" i="4"/>
  <c r="N5" i="4"/>
  <c r="P10" i="4"/>
  <c r="N7" i="4"/>
  <c r="L7" i="4"/>
  <c r="O8" i="4"/>
  <c r="M8" i="4"/>
  <c r="N9" i="4"/>
  <c r="P6" i="4"/>
  <c r="P4" i="4"/>
  <c r="L9" i="4"/>
  <c r="P7" i="4"/>
  <c r="P8" i="4"/>
  <c r="L6" i="4"/>
  <c r="P5" i="4"/>
  <c r="L5" i="4"/>
  <c r="L4" i="4"/>
  <c r="L7" i="9"/>
  <c r="L9" i="9"/>
  <c r="N6" i="6"/>
  <c r="O10" i="6"/>
  <c r="O8" i="6"/>
  <c r="N10" i="6"/>
  <c r="N5" i="6"/>
  <c r="N7" i="6"/>
  <c r="N4" i="6"/>
  <c r="N6" i="8"/>
  <c r="N10" i="8"/>
  <c r="L7" i="8"/>
  <c r="N9" i="8"/>
  <c r="N6" i="5"/>
  <c r="N9" i="5"/>
  <c r="N9" i="3"/>
  <c r="O10" i="4"/>
  <c r="N6" i="7"/>
  <c r="M10" i="7"/>
  <c r="L7" i="7"/>
  <c r="N5" i="7"/>
  <c r="P7" i="2"/>
  <c r="P10" i="2"/>
  <c r="P6" i="2"/>
  <c r="P9" i="2"/>
  <c r="N8" i="2"/>
  <c r="O8" i="2"/>
  <c r="N10" i="2"/>
  <c r="N5" i="1"/>
  <c r="N8" i="1"/>
  <c r="N7" i="1"/>
  <c r="N4" i="1"/>
  <c r="N10" i="1"/>
  <c r="P9" i="1"/>
  <c r="N6" i="1"/>
  <c r="L5" i="1"/>
  <c r="O10" i="1"/>
  <c r="L9" i="1"/>
  <c r="P4" i="1"/>
  <c r="P5" i="1"/>
  <c r="M8" i="1"/>
  <c r="P6" i="1"/>
  <c r="P8" i="1"/>
  <c r="O8" i="1"/>
  <c r="P10" i="1"/>
  <c r="L6" i="1"/>
  <c r="L4" i="1"/>
  <c r="N9" i="1"/>
  <c r="L7" i="1"/>
  <c r="L5" i="2" l="1"/>
  <c r="M8" i="2"/>
  <c r="N6" i="2"/>
  <c r="N4" i="2"/>
  <c r="L9" i="2"/>
  <c r="L7" i="2"/>
  <c r="M10" i="2"/>
  <c r="O10" i="2"/>
  <c r="P4" i="2"/>
</calcChain>
</file>

<file path=xl/sharedStrings.xml><?xml version="1.0" encoding="utf-8"?>
<sst xmlns="http://schemas.openxmlformats.org/spreadsheetml/2006/main" count="1032" uniqueCount="53">
  <si>
    <t>Prueba BIOLOGIA 2020</t>
  </si>
  <si>
    <t>MEJORA % de ACIERTOS</t>
  </si>
  <si>
    <t>MODELO</t>
  </si>
  <si>
    <t>Respondidas por el modelo</t>
  </si>
  <si>
    <t>Aciertos</t>
  </si>
  <si>
    <t>Errores</t>
  </si>
  <si>
    <t>Sin respuesta</t>
  </si>
  <si>
    <t>% de aciertos</t>
  </si>
  <si>
    <t>% sin respuestas</t>
  </si>
  <si>
    <t xml:space="preserve"> Prompt ES vs No Prompt</t>
  </si>
  <si>
    <t>Prompt upgrade ES vs Prompt general ES</t>
  </si>
  <si>
    <t>Prompt EN vs Prompt ES</t>
  </si>
  <si>
    <t>Prompt upgrade EN vs Prompt general EN</t>
  </si>
  <si>
    <t xml:space="preserve"> Prompt EN No Prompt</t>
  </si>
  <si>
    <t>llama3</t>
  </si>
  <si>
    <t>Prompt EN</t>
  </si>
  <si>
    <t>Prompt ES</t>
  </si>
  <si>
    <t>mistral</t>
  </si>
  <si>
    <t>No prompt</t>
  </si>
  <si>
    <t>gemma</t>
  </si>
  <si>
    <t>deepseek-coder</t>
  </si>
  <si>
    <t>deepseek-llm</t>
  </si>
  <si>
    <t>phi3</t>
  </si>
  <si>
    <t>phi3:instruct</t>
  </si>
  <si>
    <t>Ranking</t>
  </si>
  <si>
    <t>No Prompt</t>
  </si>
  <si>
    <t>% aciertos</t>
  </si>
  <si>
    <t>nº TOTAL DE PREGUNTAS</t>
  </si>
  <si>
    <t>tipo</t>
  </si>
  <si>
    <t>esperado</t>
  </si>
  <si>
    <t>obtenido</t>
  </si>
  <si>
    <t>texto</t>
  </si>
  <si>
    <t>imagen</t>
  </si>
  <si>
    <t>TOTAL</t>
  </si>
  <si>
    <t>ANÁLISIS GLOBAL</t>
  </si>
  <si>
    <t>Modelo</t>
  </si>
  <si>
    <t xml:space="preserve"> </t>
  </si>
  <si>
    <t>e</t>
  </si>
  <si>
    <t>Titulación</t>
  </si>
  <si>
    <t>Prompt</t>
  </si>
  <si>
    <t>Medicina</t>
  </si>
  <si>
    <t>Enfermería</t>
  </si>
  <si>
    <t>Biología</t>
  </si>
  <si>
    <t>Farmacia</t>
  </si>
  <si>
    <t>Psicología</t>
  </si>
  <si>
    <t>Física</t>
  </si>
  <si>
    <t>Química</t>
  </si>
  <si>
    <t>RAG v1</t>
  </si>
  <si>
    <t>RAG v2</t>
  </si>
  <si>
    <t>RAG v3</t>
  </si>
  <si>
    <t>RAG pb</t>
  </si>
  <si>
    <t>RAG pb v2</t>
  </si>
  <si>
    <t>RAG pb v2.2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</si>
</sst>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2" fontId="2" fillId="13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2" fontId="2" fillId="20" borderId="1" xfId="0" applyNumberFormat="1" applyFont="1" applyFill="1" applyBorder="1" applyAlignment="1">
      <alignment horizontal="center" vertical="center" wrapText="1"/>
    </xf>
    <xf numFmtId="164" fontId="2" fillId="20" borderId="1" xfId="0" applyNumberFormat="1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4" fillId="21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1" fillId="17" borderId="11" xfId="0" applyFont="1" applyFill="1" applyBorder="1" applyAlignment="1">
      <alignment horizontal="center" vertical="center" wrapText="1"/>
    </xf>
    <xf numFmtId="0" fontId="1" fillId="17" borderId="12" xfId="0" applyFont="1" applyFill="1" applyBorder="1" applyAlignment="1">
      <alignment horizontal="center" vertical="center" wrapText="1"/>
    </xf>
    <xf numFmtId="0" fontId="1" fillId="17" borderId="13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16" borderId="3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7" borderId="7" xfId="0" applyFont="1" applyFill="1" applyBorder="1" applyAlignment="1">
      <alignment horizontal="center" vertical="center" wrapText="1"/>
    </xf>
    <xf numFmtId="0" fontId="1" fillId="17" borderId="8" xfId="0" applyFont="1" applyFill="1" applyBorder="1" applyAlignment="1">
      <alignment horizontal="center" vertical="center" wrapText="1"/>
    </xf>
    <xf numFmtId="0" fontId="1" fillId="17" borderId="9" xfId="0" applyFont="1" applyFill="1" applyBorder="1" applyAlignment="1">
      <alignment horizontal="center" vertical="center" wrapText="1"/>
    </xf>
    <xf numFmtId="0" fontId="1" fillId="17" borderId="10" xfId="0" applyFont="1" applyFill="1" applyBorder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" fillId="19" borderId="3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4" fillId="22" borderId="7" xfId="0" applyFont="1" applyFill="1" applyBorder="1" applyAlignment="1">
      <alignment horizontal="center" vertical="center" wrapText="1"/>
    </xf>
    <xf numFmtId="0" fontId="4" fillId="22" borderId="9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BBEB"/>
      <color rgb="FFAA7DC9"/>
      <color rgb="FFB182C8"/>
      <color rgb="FFB06BC3"/>
      <color rgb="FFBA70BE"/>
      <color rgb="FFBB87CB"/>
      <color rgb="FFC39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Success Rate per</a:t>
            </a:r>
            <a:r>
              <a:rPr lang="es-ES" baseline="0"/>
              <a:t> Model vs Prompt Type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Grafícas!$C$2</c:f>
              <c:strCache>
                <c:ptCount val="1"/>
                <c:pt idx="0">
                  <c:v>No Prompt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Grafícas!$B$3:$B$9</c:f>
              <c:strCache>
                <c:ptCount val="7"/>
                <c:pt idx="0">
                  <c:v>llama3</c:v>
                </c:pt>
                <c:pt idx="1">
                  <c:v>mistral</c:v>
                </c:pt>
                <c:pt idx="2">
                  <c:v>gemma</c:v>
                </c:pt>
                <c:pt idx="3">
                  <c:v>deepseek-coder</c:v>
                </c:pt>
                <c:pt idx="4">
                  <c:v>deepseek-llm</c:v>
                </c:pt>
                <c:pt idx="5">
                  <c:v>phi3</c:v>
                </c:pt>
                <c:pt idx="6">
                  <c:v>phi3:instruct</c:v>
                </c:pt>
              </c:strCache>
            </c:strRef>
          </c:cat>
          <c:val>
            <c:numRef>
              <c:f>Grafícas!$C$3:$C$9</c:f>
              <c:numCache>
                <c:formatCode>General</c:formatCode>
                <c:ptCount val="7"/>
                <c:pt idx="0">
                  <c:v>45.72</c:v>
                </c:pt>
                <c:pt idx="1">
                  <c:v>35.729999999999997</c:v>
                </c:pt>
                <c:pt idx="2">
                  <c:v>43.22</c:v>
                </c:pt>
                <c:pt idx="3">
                  <c:v>25.21</c:v>
                </c:pt>
                <c:pt idx="5">
                  <c:v>28.86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7-43CA-B0C4-8490DB353F94}"/>
            </c:ext>
          </c:extLst>
        </c:ser>
        <c:ser>
          <c:idx val="1"/>
          <c:order val="1"/>
          <c:tx>
            <c:strRef>
              <c:f>Grafícas!$D$2</c:f>
              <c:strCache>
                <c:ptCount val="1"/>
                <c:pt idx="0">
                  <c:v>Prompt ES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Grafícas!$B$3:$B$9</c:f>
              <c:strCache>
                <c:ptCount val="7"/>
                <c:pt idx="0">
                  <c:v>llama3</c:v>
                </c:pt>
                <c:pt idx="1">
                  <c:v>mistral</c:v>
                </c:pt>
                <c:pt idx="2">
                  <c:v>gemma</c:v>
                </c:pt>
                <c:pt idx="3">
                  <c:v>deepseek-coder</c:v>
                </c:pt>
                <c:pt idx="4">
                  <c:v>deepseek-llm</c:v>
                </c:pt>
                <c:pt idx="5">
                  <c:v>phi3</c:v>
                </c:pt>
                <c:pt idx="6">
                  <c:v>phi3:instruct</c:v>
                </c:pt>
              </c:strCache>
            </c:strRef>
          </c:cat>
          <c:val>
            <c:numRef>
              <c:f>Grafícas!$D$3:$D$9</c:f>
              <c:numCache>
                <c:formatCode>General</c:formatCode>
                <c:ptCount val="7"/>
                <c:pt idx="0">
                  <c:v>47.8</c:v>
                </c:pt>
                <c:pt idx="1">
                  <c:v>44.08</c:v>
                </c:pt>
                <c:pt idx="2">
                  <c:v>43.52</c:v>
                </c:pt>
                <c:pt idx="3">
                  <c:v>25.08</c:v>
                </c:pt>
                <c:pt idx="4">
                  <c:v>31.43</c:v>
                </c:pt>
                <c:pt idx="5">
                  <c:v>44.68</c:v>
                </c:pt>
                <c:pt idx="6">
                  <c:v>43.12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7-43CA-B0C4-8490DB353F94}"/>
            </c:ext>
          </c:extLst>
        </c:ser>
        <c:ser>
          <c:idx val="2"/>
          <c:order val="2"/>
          <c:tx>
            <c:strRef>
              <c:f>Grafícas!$E$2</c:f>
              <c:strCache>
                <c:ptCount val="1"/>
                <c:pt idx="0">
                  <c:v>Prompt EN</c:v>
                </c:pt>
              </c:strCache>
            </c:strRef>
          </c:tx>
          <c:spPr>
            <a:solidFill>
              <a:srgbClr val="AA7DC9"/>
            </a:solidFill>
            <a:ln>
              <a:solidFill>
                <a:srgbClr val="BB87CB"/>
              </a:solidFill>
            </a:ln>
            <a:effectLst/>
          </c:spPr>
          <c:invertIfNegative val="0"/>
          <c:cat>
            <c:strRef>
              <c:f>Grafícas!$B$3:$B$9</c:f>
              <c:strCache>
                <c:ptCount val="7"/>
                <c:pt idx="0">
                  <c:v>llama3</c:v>
                </c:pt>
                <c:pt idx="1">
                  <c:v>mistral</c:v>
                </c:pt>
                <c:pt idx="2">
                  <c:v>gemma</c:v>
                </c:pt>
                <c:pt idx="3">
                  <c:v>deepseek-coder</c:v>
                </c:pt>
                <c:pt idx="4">
                  <c:v>deepseek-llm</c:v>
                </c:pt>
                <c:pt idx="5">
                  <c:v>phi3</c:v>
                </c:pt>
                <c:pt idx="6">
                  <c:v>phi3:instruct</c:v>
                </c:pt>
              </c:strCache>
            </c:strRef>
          </c:cat>
          <c:val>
            <c:numRef>
              <c:f>Grafícas!$E$3:$E$9</c:f>
              <c:numCache>
                <c:formatCode>General</c:formatCode>
                <c:ptCount val="7"/>
                <c:pt idx="0">
                  <c:v>48.37</c:v>
                </c:pt>
                <c:pt idx="1">
                  <c:v>43.92</c:v>
                </c:pt>
                <c:pt idx="2">
                  <c:v>43.8</c:v>
                </c:pt>
                <c:pt idx="3">
                  <c:v>25.53</c:v>
                </c:pt>
                <c:pt idx="4">
                  <c:v>31.41</c:v>
                </c:pt>
                <c:pt idx="5">
                  <c:v>37.130000000000003</c:v>
                </c:pt>
                <c:pt idx="6">
                  <c:v>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37-43CA-B0C4-8490DB353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153440"/>
        <c:axId val="1734140960"/>
      </c:barChart>
      <c:catAx>
        <c:axId val="173415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4140960"/>
        <c:crosses val="autoZero"/>
        <c:auto val="1"/>
        <c:lblAlgn val="ctr"/>
        <c:lblOffset val="100"/>
        <c:noMultiLvlLbl val="0"/>
      </c:catAx>
      <c:valAx>
        <c:axId val="173414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Success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415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Grafícas!$D$29</c:f>
              <c:strCache>
                <c:ptCount val="1"/>
                <c:pt idx="0">
                  <c:v>llama3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Grafícas!$B$30:$C$50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Grafícas!$D$30:$D$50</c:f>
              <c:numCache>
                <c:formatCode>0.00</c:formatCode>
                <c:ptCount val="21"/>
                <c:pt idx="0">
                  <c:v>49.444444444444443</c:v>
                </c:pt>
                <c:pt idx="1">
                  <c:v>48.222222222222221</c:v>
                </c:pt>
                <c:pt idx="2">
                  <c:v>47.544642857142854</c:v>
                </c:pt>
                <c:pt idx="3">
                  <c:v>46.985446985446991</c:v>
                </c:pt>
                <c:pt idx="4">
                  <c:v>47.046632124352335</c:v>
                </c:pt>
                <c:pt idx="5">
                  <c:v>45.185185185185183</c:v>
                </c:pt>
                <c:pt idx="6">
                  <c:v>62.230919765166334</c:v>
                </c:pt>
                <c:pt idx="7">
                  <c:v>59.843290891283054</c:v>
                </c:pt>
                <c:pt idx="8">
                  <c:v>59.077526987242393</c:v>
                </c:pt>
                <c:pt idx="9">
                  <c:v>50.341463414634148</c:v>
                </c:pt>
                <c:pt idx="10">
                  <c:v>51.804878048780488</c:v>
                </c:pt>
                <c:pt idx="11">
                  <c:v>50</c:v>
                </c:pt>
                <c:pt idx="12">
                  <c:v>47.804878048780488</c:v>
                </c:pt>
                <c:pt idx="13">
                  <c:v>48.097560975609753</c:v>
                </c:pt>
                <c:pt idx="14">
                  <c:v>43.774703557312257</c:v>
                </c:pt>
                <c:pt idx="15">
                  <c:v>35.623159960745831</c:v>
                </c:pt>
                <c:pt idx="16">
                  <c:v>34.867776689520078</c:v>
                </c:pt>
                <c:pt idx="17">
                  <c:v>32.77723258096173</c:v>
                </c:pt>
                <c:pt idx="18">
                  <c:v>46.130952380952387</c:v>
                </c:pt>
                <c:pt idx="19">
                  <c:v>44.642857142857146</c:v>
                </c:pt>
                <c:pt idx="20">
                  <c:v>41.816367265469061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6-418F-8990-E7749048A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952512"/>
        <c:axId val="72940032"/>
      </c:barChart>
      <c:catAx>
        <c:axId val="7295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940032"/>
        <c:crosses val="autoZero"/>
        <c:auto val="1"/>
        <c:lblAlgn val="ctr"/>
        <c:lblOffset val="100"/>
        <c:noMultiLvlLbl val="0"/>
      </c:catAx>
      <c:valAx>
        <c:axId val="7294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95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Grafícas!$H$29</c:f>
              <c:strCache>
                <c:ptCount val="1"/>
                <c:pt idx="0">
                  <c:v>gemma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Grafícas!$F$30:$G$50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Grafícas!$H$30:$H$50</c:f>
              <c:numCache>
                <c:formatCode>0.00</c:formatCode>
                <c:ptCount val="21"/>
                <c:pt idx="0">
                  <c:v>43.673012318029116</c:v>
                </c:pt>
                <c:pt idx="1">
                  <c:v>43.56103023516237</c:v>
                </c:pt>
                <c:pt idx="2">
                  <c:v>35.068912710566615</c:v>
                </c:pt>
                <c:pt idx="3">
                  <c:v>42.291666666666664</c:v>
                </c:pt>
                <c:pt idx="4">
                  <c:v>41.350210970464133</c:v>
                </c:pt>
                <c:pt idx="5">
                  <c:v>36.37660485021398</c:v>
                </c:pt>
                <c:pt idx="6">
                  <c:v>56.2992125984252</c:v>
                </c:pt>
                <c:pt idx="7">
                  <c:v>58.800393313667655</c:v>
                </c:pt>
                <c:pt idx="8">
                  <c:v>45.139813581890813</c:v>
                </c:pt>
                <c:pt idx="9">
                  <c:v>44.662095984329085</c:v>
                </c:pt>
                <c:pt idx="10">
                  <c:v>44.773175542406314</c:v>
                </c:pt>
                <c:pt idx="11">
                  <c:v>37.79220779220779</c:v>
                </c:pt>
                <c:pt idx="12">
                  <c:v>44.574780058651022</c:v>
                </c:pt>
                <c:pt idx="13">
                  <c:v>45.759368836291912</c:v>
                </c:pt>
                <c:pt idx="14">
                  <c:v>33.139534883720927</c:v>
                </c:pt>
                <c:pt idx="15">
                  <c:v>33.233830845771145</c:v>
                </c:pt>
                <c:pt idx="16">
                  <c:v>32.376237623762378</c:v>
                </c:pt>
                <c:pt idx="17">
                  <c:v>30.031612223393044</c:v>
                </c:pt>
                <c:pt idx="18">
                  <c:v>42.44532803180914</c:v>
                </c:pt>
                <c:pt idx="19">
                  <c:v>41.558441558441558</c:v>
                </c:pt>
                <c:pt idx="20">
                  <c:v>33.973589435774308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5-4D0C-8565-FCB3F8E47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0344896"/>
        <c:axId val="1710345376"/>
      </c:barChart>
      <c:catAx>
        <c:axId val="171034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345376"/>
        <c:crosses val="autoZero"/>
        <c:auto val="1"/>
        <c:lblAlgn val="ctr"/>
        <c:lblOffset val="100"/>
        <c:noMultiLvlLbl val="0"/>
      </c:catAx>
      <c:valAx>
        <c:axId val="17103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34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Grafícas!$L$29</c:f>
              <c:strCache>
                <c:ptCount val="1"/>
                <c:pt idx="0">
                  <c:v>mistral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Grafícas!$J$30:$K$50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Grafícas!$L$30:$L$50</c:f>
              <c:numCache>
                <c:formatCode>0.00</c:formatCode>
                <c:ptCount val="21"/>
                <c:pt idx="0">
                  <c:v>40.777777777777779</c:v>
                </c:pt>
                <c:pt idx="1">
                  <c:v>39.777777777777779</c:v>
                </c:pt>
                <c:pt idx="2">
                  <c:v>40.56818181818182</c:v>
                </c:pt>
                <c:pt idx="3">
                  <c:v>42.708333333333329</c:v>
                </c:pt>
                <c:pt idx="4">
                  <c:v>41.390041493775932</c:v>
                </c:pt>
                <c:pt idx="5">
                  <c:v>41.492864983534581</c:v>
                </c:pt>
                <c:pt idx="6">
                  <c:v>56.876227897838902</c:v>
                </c:pt>
                <c:pt idx="7">
                  <c:v>55.859375</c:v>
                </c:pt>
                <c:pt idx="8">
                  <c:v>55.850540806293012</c:v>
                </c:pt>
                <c:pt idx="9">
                  <c:v>45.329400196656835</c:v>
                </c:pt>
                <c:pt idx="10">
                  <c:v>46.048780487804883</c:v>
                </c:pt>
                <c:pt idx="11">
                  <c:v>45.436507936507937</c:v>
                </c:pt>
                <c:pt idx="12">
                  <c:v>41.756097560975611</c:v>
                </c:pt>
                <c:pt idx="13">
                  <c:v>41.365853658536587</c:v>
                </c:pt>
                <c:pt idx="14">
                  <c:v>41.32231404958678</c:v>
                </c:pt>
                <c:pt idx="15">
                  <c:v>35.170340681362724</c:v>
                </c:pt>
                <c:pt idx="16">
                  <c:v>35.777126099706749</c:v>
                </c:pt>
                <c:pt idx="17">
                  <c:v>33.333333333333329</c:v>
                </c:pt>
                <c:pt idx="18">
                  <c:v>43.4</c:v>
                </c:pt>
                <c:pt idx="19">
                  <c:v>43.861386138613859</c:v>
                </c:pt>
                <c:pt idx="20">
                  <c:v>43.743641912512714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9-489F-884B-1816D685F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89088"/>
        <c:axId val="70800608"/>
      </c:barChart>
      <c:catAx>
        <c:axId val="7078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800608"/>
        <c:crosses val="autoZero"/>
        <c:auto val="1"/>
        <c:lblAlgn val="ctr"/>
        <c:lblOffset val="100"/>
        <c:noMultiLvlLbl val="0"/>
      </c:catAx>
      <c:valAx>
        <c:axId val="7080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78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Grafícas!$P$29</c:f>
              <c:strCache>
                <c:ptCount val="1"/>
                <c:pt idx="0">
                  <c:v>deepseek-coder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Grafícas!$N$30:$O$50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Grafícas!$P$30:$P$50</c:f>
              <c:numCache>
                <c:formatCode>0.00</c:formatCode>
                <c:ptCount val="21"/>
                <c:pt idx="0">
                  <c:v>21.5962441314554</c:v>
                </c:pt>
                <c:pt idx="1">
                  <c:v>26.51006711409396</c:v>
                </c:pt>
                <c:pt idx="2">
                  <c:v>25.925925925925924</c:v>
                </c:pt>
                <c:pt idx="3">
                  <c:v>24.840764331210192</c:v>
                </c:pt>
                <c:pt idx="4">
                  <c:v>27.118644067796609</c:v>
                </c:pt>
                <c:pt idx="5">
                  <c:v>30.487804878048781</c:v>
                </c:pt>
                <c:pt idx="6">
                  <c:v>29.449838187702266</c:v>
                </c:pt>
                <c:pt idx="7">
                  <c:v>24.301075268817204</c:v>
                </c:pt>
                <c:pt idx="8">
                  <c:v>22.666666666666664</c:v>
                </c:pt>
                <c:pt idx="9">
                  <c:v>24.281150159744406</c:v>
                </c:pt>
                <c:pt idx="10">
                  <c:v>24.040404040404042</c:v>
                </c:pt>
                <c:pt idx="11">
                  <c:v>29.565217391304348</c:v>
                </c:pt>
                <c:pt idx="12">
                  <c:v>27.374301675977652</c:v>
                </c:pt>
                <c:pt idx="13">
                  <c:v>29.076620825147348</c:v>
                </c:pt>
                <c:pt idx="14">
                  <c:v>25.78125</c:v>
                </c:pt>
                <c:pt idx="15">
                  <c:v>25.622775800711743</c:v>
                </c:pt>
                <c:pt idx="16">
                  <c:v>22.547584187408493</c:v>
                </c:pt>
                <c:pt idx="17">
                  <c:v>23.877917414721722</c:v>
                </c:pt>
                <c:pt idx="18">
                  <c:v>24.434389140271492</c:v>
                </c:pt>
                <c:pt idx="19">
                  <c:v>23.843416370106763</c:v>
                </c:pt>
                <c:pt idx="20">
                  <c:v>24.731182795698924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E-42EB-8A6D-F245D4553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488"/>
        <c:axId val="422208"/>
      </c:barChart>
      <c:catAx>
        <c:axId val="41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2208"/>
        <c:crosses val="autoZero"/>
        <c:auto val="1"/>
        <c:lblAlgn val="ctr"/>
        <c:lblOffset val="100"/>
        <c:noMultiLvlLbl val="0"/>
      </c:catAx>
      <c:valAx>
        <c:axId val="42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Grafícas!$T$29</c:f>
              <c:strCache>
                <c:ptCount val="1"/>
                <c:pt idx="0">
                  <c:v>deepseek-llm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Grafícas!$R$30:$S$43</c:f>
              <c:multiLvlStrCache>
                <c:ptCount val="14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Prompt EN</c:v>
                  </c:pt>
                  <c:pt idx="3">
                    <c:v>Prompt ES</c:v>
                  </c:pt>
                  <c:pt idx="4">
                    <c:v>Prompt EN</c:v>
                  </c:pt>
                  <c:pt idx="5">
                    <c:v>Prompt ES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Prompt EN</c:v>
                  </c:pt>
                  <c:pt idx="9">
                    <c:v>Prompt ES</c:v>
                  </c:pt>
                  <c:pt idx="10">
                    <c:v>Prompt EN</c:v>
                  </c:pt>
                  <c:pt idx="11">
                    <c:v>Prompt ES</c:v>
                  </c:pt>
                  <c:pt idx="12">
                    <c:v>Prompt EN</c:v>
                  </c:pt>
                  <c:pt idx="13">
                    <c:v>Prompt ES</c:v>
                  </c:pt>
                </c:lvl>
                <c:lvl>
                  <c:pt idx="0">
                    <c:v>Medicina</c:v>
                  </c:pt>
                  <c:pt idx="2">
                    <c:v>Enfermería</c:v>
                  </c:pt>
                  <c:pt idx="4">
                    <c:v>Biología</c:v>
                  </c:pt>
                  <c:pt idx="6">
                    <c:v>Farmacia</c:v>
                  </c:pt>
                  <c:pt idx="8">
                    <c:v>Psicología</c:v>
                  </c:pt>
                  <c:pt idx="10">
                    <c:v>Física</c:v>
                  </c:pt>
                  <c:pt idx="12">
                    <c:v>Química</c:v>
                  </c:pt>
                </c:lvl>
              </c:multiLvlStrCache>
            </c:multiLvlStrRef>
          </c:cat>
          <c:val>
            <c:numRef>
              <c:f>Grafícas!$T$30:$T$43</c:f>
              <c:numCache>
                <c:formatCode>0.00</c:formatCode>
                <c:ptCount val="14"/>
                <c:pt idx="0">
                  <c:v>30.201342281879196</c:v>
                </c:pt>
                <c:pt idx="1">
                  <c:v>29.360100376411541</c:v>
                </c:pt>
                <c:pt idx="2">
                  <c:v>33.368421052631582</c:v>
                </c:pt>
                <c:pt idx="3">
                  <c:v>31.968145620022753</c:v>
                </c:pt>
                <c:pt idx="4">
                  <c:v>37.769080234833659</c:v>
                </c:pt>
                <c:pt idx="5">
                  <c:v>38.223140495867767</c:v>
                </c:pt>
                <c:pt idx="6">
                  <c:v>30.48180924287119</c:v>
                </c:pt>
                <c:pt idx="7">
                  <c:v>32.700421940928273</c:v>
                </c:pt>
                <c:pt idx="8">
                  <c:v>30.186823992133725</c:v>
                </c:pt>
                <c:pt idx="9">
                  <c:v>31.472081218274113</c:v>
                </c:pt>
                <c:pt idx="10">
                  <c:v>26.1139896373057</c:v>
                </c:pt>
                <c:pt idx="11">
                  <c:v>26.674500587544063</c:v>
                </c:pt>
                <c:pt idx="12">
                  <c:v>31.457286432160803</c:v>
                </c:pt>
                <c:pt idx="13">
                  <c:v>28.691983122362867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3-4D63-BC37-CC687584D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6876096"/>
        <c:axId val="1926877536"/>
      </c:barChart>
      <c:catAx>
        <c:axId val="192687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6877536"/>
        <c:crosses val="autoZero"/>
        <c:auto val="1"/>
        <c:lblAlgn val="ctr"/>
        <c:lblOffset val="100"/>
        <c:noMultiLvlLbl val="0"/>
      </c:catAx>
      <c:valAx>
        <c:axId val="192687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687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Grafícas!$X$29</c:f>
              <c:strCache>
                <c:ptCount val="1"/>
                <c:pt idx="0">
                  <c:v>phi3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Grafícas!$V$30:$W$50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Grafícas!$X$30:$X$50</c:f>
              <c:numCache>
                <c:formatCode>0.00</c:formatCode>
                <c:ptCount val="21"/>
                <c:pt idx="0">
                  <c:v>43.75</c:v>
                </c:pt>
                <c:pt idx="1">
                  <c:v>33.75</c:v>
                </c:pt>
                <c:pt idx="2">
                  <c:v>31.351351351351354</c:v>
                </c:pt>
                <c:pt idx="3">
                  <c:v>39.351851851851855</c:v>
                </c:pt>
                <c:pt idx="4">
                  <c:v>41.666666666666671</c:v>
                </c:pt>
                <c:pt idx="5">
                  <c:v>34.915254237288131</c:v>
                </c:pt>
                <c:pt idx="6">
                  <c:v>42.654028436018962</c:v>
                </c:pt>
                <c:pt idx="7">
                  <c:v>60.861056751467714</c:v>
                </c:pt>
                <c:pt idx="8">
                  <c:v>29.787234042553191</c:v>
                </c:pt>
                <c:pt idx="9">
                  <c:v>37.172774869109951</c:v>
                </c:pt>
                <c:pt idx="10">
                  <c:v>46.012269938650306</c:v>
                </c:pt>
                <c:pt idx="11">
                  <c:v>31.496062992125985</c:v>
                </c:pt>
                <c:pt idx="12">
                  <c:v>31.477927063339735</c:v>
                </c:pt>
                <c:pt idx="13">
                  <c:v>43.45703125</c:v>
                </c:pt>
                <c:pt idx="14">
                  <c:v>25.11415525114155</c:v>
                </c:pt>
                <c:pt idx="15">
                  <c:v>25.737265415549597</c:v>
                </c:pt>
                <c:pt idx="16">
                  <c:v>30.867346938775508</c:v>
                </c:pt>
                <c:pt idx="17">
                  <c:v>26.119402985074625</c:v>
                </c:pt>
                <c:pt idx="18">
                  <c:v>38.186157517899758</c:v>
                </c:pt>
                <c:pt idx="19">
                  <c:v>44.920318725099598</c:v>
                </c:pt>
                <c:pt idx="20">
                  <c:v>22.127659574468083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2-42DC-ABBF-DD7B6B914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710576"/>
        <c:axId val="1788711536"/>
      </c:barChart>
      <c:catAx>
        <c:axId val="178871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8711536"/>
        <c:crosses val="autoZero"/>
        <c:auto val="1"/>
        <c:lblAlgn val="ctr"/>
        <c:lblOffset val="100"/>
        <c:noMultiLvlLbl val="0"/>
      </c:catAx>
      <c:valAx>
        <c:axId val="17887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871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Grafícas!$AB$29</c:f>
              <c:strCache>
                <c:ptCount val="1"/>
                <c:pt idx="0">
                  <c:v>phi3:instruct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Grafícas!$Z$30:$AA$43</c:f>
              <c:multiLvlStrCache>
                <c:ptCount val="14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Prompt EN</c:v>
                  </c:pt>
                  <c:pt idx="3">
                    <c:v>Prompt ES</c:v>
                  </c:pt>
                  <c:pt idx="4">
                    <c:v>Prompt EN</c:v>
                  </c:pt>
                  <c:pt idx="5">
                    <c:v>Prompt ES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Prompt EN</c:v>
                  </c:pt>
                  <c:pt idx="9">
                    <c:v>Prompt ES</c:v>
                  </c:pt>
                  <c:pt idx="10">
                    <c:v>Prompt EN</c:v>
                  </c:pt>
                  <c:pt idx="11">
                    <c:v>Prompt ES</c:v>
                  </c:pt>
                  <c:pt idx="12">
                    <c:v>Prompt EN</c:v>
                  </c:pt>
                  <c:pt idx="13">
                    <c:v>Prompt ES</c:v>
                  </c:pt>
                </c:lvl>
                <c:lvl>
                  <c:pt idx="0">
                    <c:v>Medicina</c:v>
                  </c:pt>
                  <c:pt idx="2">
                    <c:v>Enfermería</c:v>
                  </c:pt>
                  <c:pt idx="4">
                    <c:v>Biología</c:v>
                  </c:pt>
                  <c:pt idx="6">
                    <c:v>Farmacia</c:v>
                  </c:pt>
                  <c:pt idx="8">
                    <c:v>Psicología</c:v>
                  </c:pt>
                  <c:pt idx="10">
                    <c:v>Física</c:v>
                  </c:pt>
                  <c:pt idx="12">
                    <c:v>Química</c:v>
                  </c:pt>
                </c:lvl>
              </c:multiLvlStrCache>
            </c:multiLvlStrRef>
          </c:cat>
          <c:val>
            <c:numRef>
              <c:f>Grafícas!$AB$30:$AB$43</c:f>
              <c:numCache>
                <c:formatCode>0.00</c:formatCode>
                <c:ptCount val="14"/>
                <c:pt idx="0">
                  <c:v>20.765027322404372</c:v>
                </c:pt>
                <c:pt idx="1">
                  <c:v>41.744966442953022</c:v>
                </c:pt>
                <c:pt idx="2">
                  <c:v>25.69832402234637</c:v>
                </c:pt>
                <c:pt idx="3">
                  <c:v>36.50306748466258</c:v>
                </c:pt>
                <c:pt idx="4">
                  <c:v>26.459143968871597</c:v>
                </c:pt>
                <c:pt idx="5">
                  <c:v>56.157635467980292</c:v>
                </c:pt>
                <c:pt idx="6">
                  <c:v>22.421524663677133</c:v>
                </c:pt>
                <c:pt idx="7">
                  <c:v>45.69471624266145</c:v>
                </c:pt>
                <c:pt idx="8">
                  <c:v>30.392156862745097</c:v>
                </c:pt>
                <c:pt idx="9">
                  <c:v>41.658536585365852</c:v>
                </c:pt>
                <c:pt idx="10">
                  <c:v>24.870466321243523</c:v>
                </c:pt>
                <c:pt idx="11">
                  <c:v>31.25925925925926</c:v>
                </c:pt>
                <c:pt idx="12">
                  <c:v>24.623115577889447</c:v>
                </c:pt>
                <c:pt idx="13">
                  <c:v>41.543026706231458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7-40D4-B44B-7912CC3A0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59856"/>
        <c:axId val="129071376"/>
      </c:barChart>
      <c:catAx>
        <c:axId val="12905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071376"/>
        <c:crosses val="autoZero"/>
        <c:auto val="1"/>
        <c:lblAlgn val="ctr"/>
        <c:lblOffset val="100"/>
        <c:noMultiLvlLbl val="0"/>
      </c:catAx>
      <c:valAx>
        <c:axId val="1290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05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4075</xdr:colOff>
      <xdr:row>3</xdr:row>
      <xdr:rowOff>0</xdr:rowOff>
    </xdr:from>
    <xdr:to>
      <xdr:col>15</xdr:col>
      <xdr:colOff>641683</xdr:colOff>
      <xdr:row>24</xdr:row>
      <xdr:rowOff>173789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CB87B2-C412-1783-0A18-951E29E17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140804</xdr:colOff>
      <xdr:row>52</xdr:row>
      <xdr:rowOff>3311</xdr:rowOff>
    </xdr:from>
    <xdr:to>
      <xdr:col>6</xdr:col>
      <xdr:colOff>405847</xdr:colOff>
      <xdr:row>67</xdr:row>
      <xdr:rowOff>13250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B9AFABA-86E7-6EA4-AA22-8FECE85FD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844826</xdr:colOff>
      <xdr:row>52</xdr:row>
      <xdr:rowOff>11595</xdr:rowOff>
    </xdr:from>
    <xdr:to>
      <xdr:col>12</xdr:col>
      <xdr:colOff>248479</xdr:colOff>
      <xdr:row>67</xdr:row>
      <xdr:rowOff>21534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A02D701-1699-12C1-3CB9-66FB38B82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16566</xdr:colOff>
      <xdr:row>52</xdr:row>
      <xdr:rowOff>3314</xdr:rowOff>
    </xdr:from>
    <xdr:to>
      <xdr:col>18</xdr:col>
      <xdr:colOff>281610</xdr:colOff>
      <xdr:row>67</xdr:row>
      <xdr:rowOff>13253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44EEFD7-2237-4F09-B65F-282915127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132521</xdr:colOff>
      <xdr:row>68</xdr:row>
      <xdr:rowOff>19878</xdr:rowOff>
    </xdr:from>
    <xdr:to>
      <xdr:col>6</xdr:col>
      <xdr:colOff>397564</xdr:colOff>
      <xdr:row>83</xdr:row>
      <xdr:rowOff>29817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708A58A-28CB-39B0-B3E1-C457EA19F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853108</xdr:colOff>
      <xdr:row>68</xdr:row>
      <xdr:rowOff>19879</xdr:rowOff>
    </xdr:from>
    <xdr:to>
      <xdr:col>12</xdr:col>
      <xdr:colOff>256761</xdr:colOff>
      <xdr:row>83</xdr:row>
      <xdr:rowOff>29818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2B03EFA-C692-EAB9-ABD7-D59483EFB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132520</xdr:colOff>
      <xdr:row>84</xdr:row>
      <xdr:rowOff>11597</xdr:rowOff>
    </xdr:from>
    <xdr:to>
      <xdr:col>6</xdr:col>
      <xdr:colOff>397563</xdr:colOff>
      <xdr:row>99</xdr:row>
      <xdr:rowOff>21536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A1F5582-4AD6-B254-D802-A123EFF04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836543</xdr:colOff>
      <xdr:row>84</xdr:row>
      <xdr:rowOff>28162</xdr:rowOff>
    </xdr:from>
    <xdr:to>
      <xdr:col>12</xdr:col>
      <xdr:colOff>240196</xdr:colOff>
      <xdr:row>99</xdr:row>
      <xdr:rowOff>38101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1BBB475-276D-0CF1-A987-07DE2E7B1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BDD6-C481-4CFB-A7A5-F73D7A9748EA}">
  <sheetPr>
    <tabColor theme="5" tint="0.59999389629810485"/>
  </sheetPr>
  <dimension ref="B2:H28"/>
  <sheetViews>
    <sheetView zoomScale="68" workbookViewId="0">
      <selection activeCell="B4" sqref="B4:B28"/>
    </sheetView>
  </sheetViews>
  <sheetFormatPr baseColWidth="10" defaultRowHeight="14.4" x14ac:dyDescent="0.3"/>
  <sheetData>
    <row r="2" spans="2:8" x14ac:dyDescent="0.3">
      <c r="B2" s="37" t="s">
        <v>34</v>
      </c>
      <c r="C2" s="38"/>
      <c r="D2" s="38"/>
      <c r="E2" s="38"/>
      <c r="F2" s="38"/>
      <c r="G2" s="38"/>
      <c r="H2" s="38"/>
    </row>
    <row r="3" spans="2:8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</row>
    <row r="4" spans="2:8" x14ac:dyDescent="0.3">
      <c r="B4" s="34" t="s">
        <v>14</v>
      </c>
      <c r="C4" s="3" t="s">
        <v>15</v>
      </c>
      <c r="D4" s="3">
        <v>900</v>
      </c>
      <c r="E4" s="3">
        <v>445</v>
      </c>
      <c r="F4" s="3">
        <v>455</v>
      </c>
      <c r="G4" s="3">
        <v>0</v>
      </c>
      <c r="H4" s="18">
        <f>(E4/D4)*100</f>
        <v>49.444444444444443</v>
      </c>
    </row>
    <row r="5" spans="2:8" x14ac:dyDescent="0.3">
      <c r="B5" s="35"/>
      <c r="C5" s="3" t="s">
        <v>16</v>
      </c>
      <c r="D5" s="3">
        <v>900</v>
      </c>
      <c r="E5" s="3">
        <v>434</v>
      </c>
      <c r="F5" s="3">
        <v>466</v>
      </c>
      <c r="G5" s="3">
        <v>0</v>
      </c>
      <c r="H5" s="18">
        <f t="shared" ref="H5:H23" si="0">(E5/D5)*100</f>
        <v>48.222222222222221</v>
      </c>
    </row>
    <row r="6" spans="2:8" x14ac:dyDescent="0.3">
      <c r="B6" s="35"/>
      <c r="C6" s="3" t="s">
        <v>18</v>
      </c>
      <c r="D6" s="3">
        <v>896</v>
      </c>
      <c r="E6" s="3">
        <v>426</v>
      </c>
      <c r="F6" s="3">
        <v>470</v>
      </c>
      <c r="G6" s="3">
        <v>4</v>
      </c>
      <c r="H6" s="18">
        <f t="shared" si="0"/>
        <v>47.544642857142854</v>
      </c>
    </row>
    <row r="7" spans="2:8" x14ac:dyDescent="0.3">
      <c r="B7" s="35"/>
      <c r="C7" s="3" t="s">
        <v>47</v>
      </c>
      <c r="D7" s="3"/>
      <c r="E7" s="3"/>
      <c r="F7" s="3"/>
      <c r="G7" s="3"/>
      <c r="H7" s="18">
        <v>28.31</v>
      </c>
    </row>
    <row r="8" spans="2:8" x14ac:dyDescent="0.3">
      <c r="B8" s="35"/>
      <c r="C8" s="3" t="s">
        <v>48</v>
      </c>
      <c r="D8" s="3"/>
      <c r="E8" s="3"/>
      <c r="F8" s="3"/>
      <c r="G8" s="3"/>
      <c r="H8" s="18">
        <v>28.87</v>
      </c>
    </row>
    <row r="9" spans="2:8" x14ac:dyDescent="0.3">
      <c r="B9" s="35"/>
      <c r="C9" s="3" t="s">
        <v>49</v>
      </c>
      <c r="D9" s="3"/>
      <c r="E9" s="3"/>
      <c r="F9" s="3"/>
      <c r="G9" s="3"/>
      <c r="H9" s="18">
        <v>27.46</v>
      </c>
    </row>
    <row r="10" spans="2:8" x14ac:dyDescent="0.3">
      <c r="B10" s="35"/>
      <c r="C10" s="3" t="s">
        <v>50</v>
      </c>
      <c r="D10" s="3"/>
      <c r="E10" s="3"/>
      <c r="F10" s="3"/>
      <c r="G10" s="3"/>
      <c r="H10" s="18">
        <v>49.85</v>
      </c>
    </row>
    <row r="11" spans="2:8" x14ac:dyDescent="0.3">
      <c r="B11" s="35"/>
      <c r="C11" s="3" t="s">
        <v>51</v>
      </c>
      <c r="D11" s="3"/>
      <c r="E11" s="3"/>
      <c r="F11" s="3"/>
      <c r="G11" s="3"/>
      <c r="H11" s="18">
        <v>47.14</v>
      </c>
    </row>
    <row r="12" spans="2:8" x14ac:dyDescent="0.3">
      <c r="B12" s="36"/>
      <c r="C12" s="3" t="s">
        <v>52</v>
      </c>
      <c r="D12" s="3"/>
      <c r="E12" s="3"/>
      <c r="F12" s="3"/>
      <c r="G12" s="3"/>
      <c r="H12" s="18"/>
    </row>
    <row r="13" spans="2:8" x14ac:dyDescent="0.3">
      <c r="B13" s="34" t="s">
        <v>17</v>
      </c>
      <c r="C13" s="1" t="s">
        <v>15</v>
      </c>
      <c r="D13" s="1">
        <v>893</v>
      </c>
      <c r="E13" s="1">
        <v>390</v>
      </c>
      <c r="F13" s="1">
        <v>503</v>
      </c>
      <c r="G13" s="1">
        <v>7</v>
      </c>
      <c r="H13" s="19">
        <f t="shared" si="0"/>
        <v>43.673012318029116</v>
      </c>
    </row>
    <row r="14" spans="2:8" x14ac:dyDescent="0.3">
      <c r="B14" s="35"/>
      <c r="C14" s="1" t="s">
        <v>16</v>
      </c>
      <c r="D14" s="1">
        <v>893</v>
      </c>
      <c r="E14" s="1">
        <v>389</v>
      </c>
      <c r="F14" s="1">
        <v>504</v>
      </c>
      <c r="G14" s="1">
        <v>7</v>
      </c>
      <c r="H14" s="19">
        <f t="shared" si="0"/>
        <v>43.56103023516237</v>
      </c>
    </row>
    <row r="15" spans="2:8" x14ac:dyDescent="0.3">
      <c r="B15" s="35"/>
      <c r="C15" s="1" t="s">
        <v>18</v>
      </c>
      <c r="D15" s="1">
        <v>653</v>
      </c>
      <c r="E15" s="1">
        <v>229</v>
      </c>
      <c r="F15" s="1">
        <v>424</v>
      </c>
      <c r="G15" s="1">
        <v>247</v>
      </c>
      <c r="H15" s="19">
        <f t="shared" si="0"/>
        <v>35.068912710566615</v>
      </c>
    </row>
    <row r="16" spans="2:8" x14ac:dyDescent="0.3">
      <c r="B16" s="35"/>
      <c r="C16" s="1" t="s">
        <v>47</v>
      </c>
      <c r="D16" s="1"/>
      <c r="E16" s="1"/>
      <c r="F16" s="1"/>
      <c r="G16" s="1"/>
      <c r="H16" s="19">
        <v>26.92</v>
      </c>
    </row>
    <row r="17" spans="2:8" x14ac:dyDescent="0.3">
      <c r="B17" s="35"/>
      <c r="C17" s="1" t="s">
        <v>48</v>
      </c>
      <c r="D17" s="1"/>
      <c r="E17" s="1"/>
      <c r="F17" s="1"/>
      <c r="G17" s="1"/>
      <c r="H17" s="19">
        <v>27.46</v>
      </c>
    </row>
    <row r="18" spans="2:8" x14ac:dyDescent="0.3">
      <c r="B18" s="35"/>
      <c r="C18" s="1" t="s">
        <v>49</v>
      </c>
      <c r="D18" s="1"/>
      <c r="E18" s="1"/>
      <c r="F18" s="1"/>
      <c r="G18" s="1"/>
      <c r="H18" s="19">
        <v>28</v>
      </c>
    </row>
    <row r="19" spans="2:8" x14ac:dyDescent="0.3">
      <c r="B19" s="35"/>
      <c r="C19" s="1" t="s">
        <v>50</v>
      </c>
      <c r="D19" s="1"/>
      <c r="E19" s="1"/>
      <c r="F19" s="1"/>
      <c r="G19" s="1"/>
      <c r="H19" s="19"/>
    </row>
    <row r="20" spans="2:8" x14ac:dyDescent="0.3">
      <c r="B20" s="36"/>
      <c r="C20" s="1" t="s">
        <v>51</v>
      </c>
      <c r="D20" s="1"/>
      <c r="E20" s="1"/>
      <c r="F20" s="1"/>
      <c r="G20" s="1"/>
      <c r="H20" s="19"/>
    </row>
    <row r="21" spans="2:8" x14ac:dyDescent="0.3">
      <c r="B21" s="34" t="s">
        <v>19</v>
      </c>
      <c r="C21" s="3" t="s">
        <v>15</v>
      </c>
      <c r="D21" s="3">
        <v>900</v>
      </c>
      <c r="E21" s="3">
        <v>367</v>
      </c>
      <c r="F21" s="3">
        <v>533</v>
      </c>
      <c r="G21" s="3">
        <v>0</v>
      </c>
      <c r="H21" s="18">
        <f t="shared" si="0"/>
        <v>40.777777777777779</v>
      </c>
    </row>
    <row r="22" spans="2:8" x14ac:dyDescent="0.3">
      <c r="B22" s="35"/>
      <c r="C22" s="3" t="s">
        <v>16</v>
      </c>
      <c r="D22" s="3">
        <v>900</v>
      </c>
      <c r="E22" s="3">
        <v>358</v>
      </c>
      <c r="F22" s="3">
        <v>542</v>
      </c>
      <c r="G22" s="3">
        <v>0</v>
      </c>
      <c r="H22" s="18">
        <f t="shared" si="0"/>
        <v>39.777777777777779</v>
      </c>
    </row>
    <row r="23" spans="2:8" x14ac:dyDescent="0.3">
      <c r="B23" s="35"/>
      <c r="C23" s="3" t="s">
        <v>18</v>
      </c>
      <c r="D23" s="3">
        <v>880</v>
      </c>
      <c r="E23" s="3">
        <v>357</v>
      </c>
      <c r="F23" s="3">
        <v>523</v>
      </c>
      <c r="G23" s="3">
        <v>20</v>
      </c>
      <c r="H23" s="18">
        <f t="shared" si="0"/>
        <v>40.56818181818182</v>
      </c>
    </row>
    <row r="24" spans="2:8" x14ac:dyDescent="0.3">
      <c r="B24" s="35"/>
      <c r="C24" s="3" t="s">
        <v>47</v>
      </c>
      <c r="D24" s="3"/>
      <c r="E24" s="3"/>
      <c r="F24" s="3"/>
      <c r="G24" s="3"/>
      <c r="H24" s="18">
        <v>24.17</v>
      </c>
    </row>
    <row r="25" spans="2:8" x14ac:dyDescent="0.3">
      <c r="B25" s="35"/>
      <c r="C25" s="3" t="s">
        <v>48</v>
      </c>
      <c r="D25" s="3"/>
      <c r="E25" s="3"/>
      <c r="F25" s="3"/>
      <c r="G25" s="3"/>
      <c r="H25" s="18">
        <v>26.57</v>
      </c>
    </row>
    <row r="26" spans="2:8" x14ac:dyDescent="0.3">
      <c r="B26" s="35"/>
      <c r="C26" s="3" t="s">
        <v>49</v>
      </c>
      <c r="D26" s="3"/>
      <c r="E26" s="3"/>
      <c r="F26" s="3"/>
      <c r="G26" s="3"/>
      <c r="H26" s="18">
        <v>27.05</v>
      </c>
    </row>
    <row r="27" spans="2:8" x14ac:dyDescent="0.3">
      <c r="B27" s="35"/>
      <c r="C27" s="3" t="s">
        <v>50</v>
      </c>
      <c r="D27" s="3"/>
      <c r="E27" s="3"/>
      <c r="F27" s="3"/>
      <c r="G27" s="3"/>
      <c r="H27" s="18"/>
    </row>
    <row r="28" spans="2:8" x14ac:dyDescent="0.3">
      <c r="B28" s="35"/>
      <c r="C28" s="3" t="s">
        <v>51</v>
      </c>
      <c r="D28" s="3"/>
      <c r="E28" s="3"/>
      <c r="F28" s="3"/>
      <c r="G28" s="3"/>
      <c r="H28" s="18"/>
    </row>
  </sheetData>
  <mergeCells count="5">
    <mergeCell ref="B21:B28"/>
    <mergeCell ref="B13:B20"/>
    <mergeCell ref="B2:H2"/>
    <mergeCell ref="B3:C3"/>
    <mergeCell ref="B4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B2:P31"/>
  <sheetViews>
    <sheetView topLeftCell="A5" workbookViewId="0">
      <selection activeCell="J26" sqref="J26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7" t="s">
        <v>0</v>
      </c>
      <c r="C2" s="38"/>
      <c r="D2" s="38"/>
      <c r="E2" s="38"/>
      <c r="F2" s="38"/>
      <c r="G2" s="38"/>
      <c r="H2" s="38"/>
      <c r="I2" s="38"/>
      <c r="K2" s="42" t="s">
        <v>1</v>
      </c>
      <c r="L2" s="42"/>
      <c r="M2" s="42"/>
      <c r="N2" s="42"/>
      <c r="O2" s="42"/>
      <c r="P2" s="42"/>
    </row>
    <row r="3" spans="2:16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43" t="s">
        <v>14</v>
      </c>
      <c r="C4" s="3" t="s">
        <v>15</v>
      </c>
      <c r="D4" s="3">
        <v>185</v>
      </c>
      <c r="E4" s="3">
        <v>107</v>
      </c>
      <c r="F4" s="3">
        <v>78</v>
      </c>
      <c r="G4" s="3">
        <v>0</v>
      </c>
      <c r="H4" s="18">
        <f>(E4/D4)*100</f>
        <v>57.837837837837839</v>
      </c>
      <c r="I4" s="22">
        <f t="shared" ref="I4:I17" si="0">(G4/$D$29)*100</f>
        <v>0</v>
      </c>
      <c r="J4" s="4"/>
      <c r="K4" s="14" t="s">
        <v>14</v>
      </c>
      <c r="L4" s="7">
        <f>H5-H6</f>
        <v>7.567567567567572</v>
      </c>
      <c r="M4" s="8"/>
      <c r="N4" s="7">
        <f>H4-H5</f>
        <v>-4.8648648648648702</v>
      </c>
      <c r="O4" s="8"/>
      <c r="P4" s="7">
        <f>H4-H6</f>
        <v>2.7027027027027017</v>
      </c>
    </row>
    <row r="5" spans="2:16" x14ac:dyDescent="0.3">
      <c r="B5" s="43"/>
      <c r="C5" s="3" t="s">
        <v>16</v>
      </c>
      <c r="D5" s="3">
        <v>185</v>
      </c>
      <c r="E5" s="3">
        <v>116</v>
      </c>
      <c r="F5" s="3">
        <v>69</v>
      </c>
      <c r="G5" s="3">
        <v>0</v>
      </c>
      <c r="H5" s="18">
        <f t="shared" ref="H5:H23" si="1">(E5/D5)*100</f>
        <v>62.702702702702709</v>
      </c>
      <c r="I5" s="22">
        <f t="shared" si="0"/>
        <v>0</v>
      </c>
      <c r="J5" s="4"/>
      <c r="K5" s="14" t="s">
        <v>17</v>
      </c>
      <c r="L5" s="7">
        <f>H8-H9</f>
        <v>17.157004332576854</v>
      </c>
      <c r="M5" s="8"/>
      <c r="N5" s="7">
        <f>H7-H8</f>
        <v>-0.54054054054054035</v>
      </c>
      <c r="O5" s="8"/>
      <c r="P5" s="7">
        <f>H7-H9</f>
        <v>16.616463792036313</v>
      </c>
    </row>
    <row r="6" spans="2:16" x14ac:dyDescent="0.3">
      <c r="B6" s="43"/>
      <c r="C6" s="3" t="s">
        <v>18</v>
      </c>
      <c r="D6" s="3">
        <v>185</v>
      </c>
      <c r="E6" s="3">
        <v>102</v>
      </c>
      <c r="F6" s="3">
        <v>83</v>
      </c>
      <c r="G6" s="3">
        <v>0</v>
      </c>
      <c r="H6" s="18">
        <f t="shared" si="1"/>
        <v>55.135135135135137</v>
      </c>
      <c r="I6" s="22">
        <f t="shared" si="0"/>
        <v>0</v>
      </c>
      <c r="J6" s="4"/>
      <c r="K6" s="14" t="s">
        <v>19</v>
      </c>
      <c r="L6" s="7">
        <f>H11-H12</f>
        <v>4.0188014101057661</v>
      </c>
      <c r="M6" s="8"/>
      <c r="N6" s="7">
        <f>H10-H11</f>
        <v>-0.43125092305420765</v>
      </c>
      <c r="O6" s="8"/>
      <c r="P6" s="7">
        <f>H10-H12</f>
        <v>3.5875504870515584</v>
      </c>
    </row>
    <row r="7" spans="2:16" x14ac:dyDescent="0.3">
      <c r="B7" s="43" t="s">
        <v>17</v>
      </c>
      <c r="C7" s="1" t="s">
        <v>15</v>
      </c>
      <c r="D7" s="1">
        <v>185</v>
      </c>
      <c r="E7" s="1">
        <v>107</v>
      </c>
      <c r="F7" s="1">
        <v>78</v>
      </c>
      <c r="G7" s="1">
        <v>0</v>
      </c>
      <c r="H7" s="19">
        <f t="shared" si="1"/>
        <v>57.837837837837839</v>
      </c>
      <c r="I7" s="23">
        <f t="shared" si="0"/>
        <v>0</v>
      </c>
      <c r="J7" s="4"/>
      <c r="K7" s="14" t="s">
        <v>20</v>
      </c>
      <c r="L7" s="7">
        <f>H14-H15</f>
        <v>6.7307692307692299</v>
      </c>
      <c r="M7" s="8"/>
      <c r="N7" s="7">
        <f>H13-H14</f>
        <v>-17.5</v>
      </c>
      <c r="O7" s="8"/>
      <c r="P7" s="7">
        <f>H13-H15</f>
        <v>-10.76923076923077</v>
      </c>
    </row>
    <row r="8" spans="2:16" x14ac:dyDescent="0.3">
      <c r="B8" s="43"/>
      <c r="C8" s="1" t="s">
        <v>16</v>
      </c>
      <c r="D8" s="1">
        <v>185</v>
      </c>
      <c r="E8" s="1">
        <v>108</v>
      </c>
      <c r="F8" s="1">
        <v>77</v>
      </c>
      <c r="G8" s="1">
        <v>0</v>
      </c>
      <c r="H8" s="19">
        <f t="shared" si="1"/>
        <v>58.378378378378379</v>
      </c>
      <c r="I8" s="23">
        <f t="shared" si="0"/>
        <v>0</v>
      </c>
      <c r="J8" s="4"/>
      <c r="K8" s="14" t="s">
        <v>21</v>
      </c>
      <c r="L8" s="9"/>
      <c r="M8" s="7">
        <f>H17-H14</f>
        <v>6.5</v>
      </c>
      <c r="N8" s="7">
        <f>H16-H17</f>
        <v>-7.7362637362637372</v>
      </c>
      <c r="O8" s="7">
        <f>H16-H13</f>
        <v>16.263736263736263</v>
      </c>
      <c r="P8" s="7">
        <f>H16-H15</f>
        <v>5.4945054945054927</v>
      </c>
    </row>
    <row r="9" spans="2:16" x14ac:dyDescent="0.3">
      <c r="B9" s="43"/>
      <c r="C9" s="1" t="s">
        <v>18</v>
      </c>
      <c r="D9" s="1">
        <v>131</v>
      </c>
      <c r="E9" s="1">
        <v>54</v>
      </c>
      <c r="F9" s="1">
        <v>77</v>
      </c>
      <c r="G9" s="1">
        <v>54</v>
      </c>
      <c r="H9" s="19">
        <f t="shared" si="1"/>
        <v>41.221374045801525</v>
      </c>
      <c r="I9" s="23">
        <f t="shared" si="0"/>
        <v>29.189189189189189</v>
      </c>
      <c r="J9" s="4"/>
      <c r="K9" s="14" t="s">
        <v>22</v>
      </c>
      <c r="L9" s="7">
        <f>H20-H21</f>
        <v>12.068965517241381</v>
      </c>
      <c r="M9" s="8"/>
      <c r="N9" s="7">
        <f>H19-H20</f>
        <v>8.9189189189189193</v>
      </c>
      <c r="O9" s="8"/>
      <c r="P9" s="7">
        <f>H19-H21</f>
        <v>20.9878844361603</v>
      </c>
    </row>
    <row r="10" spans="2:16" x14ac:dyDescent="0.3">
      <c r="B10" s="43" t="s">
        <v>19</v>
      </c>
      <c r="C10" s="3" t="s">
        <v>15</v>
      </c>
      <c r="D10" s="3">
        <v>183</v>
      </c>
      <c r="E10" s="3">
        <v>110</v>
      </c>
      <c r="F10" s="3">
        <v>73</v>
      </c>
      <c r="G10" s="3">
        <v>2</v>
      </c>
      <c r="H10" s="18">
        <f t="shared" si="1"/>
        <v>60.10928961748634</v>
      </c>
      <c r="I10" s="22">
        <f t="shared" si="0"/>
        <v>1.0810810810810811</v>
      </c>
      <c r="J10" s="4"/>
      <c r="K10" s="14" t="s">
        <v>23</v>
      </c>
      <c r="L10" s="9"/>
      <c r="M10" s="7">
        <f>H23-H20</f>
        <v>-16.990291262135919</v>
      </c>
      <c r="N10" s="7">
        <f>H22-H23</f>
        <v>30.774075045919709</v>
      </c>
      <c r="O10" s="7">
        <f>H22-H20</f>
        <v>13.78378378378379</v>
      </c>
      <c r="P10" s="7">
        <f>H22-H21</f>
        <v>25.85274930102517</v>
      </c>
    </row>
    <row r="11" spans="2:16" x14ac:dyDescent="0.3">
      <c r="B11" s="43"/>
      <c r="C11" s="3" t="s">
        <v>16</v>
      </c>
      <c r="D11" s="3">
        <v>185</v>
      </c>
      <c r="E11" s="3">
        <v>112</v>
      </c>
      <c r="F11" s="3">
        <v>73</v>
      </c>
      <c r="G11" s="3">
        <v>0</v>
      </c>
      <c r="H11" s="18">
        <f t="shared" si="1"/>
        <v>60.540540540540547</v>
      </c>
      <c r="I11" s="22">
        <f t="shared" si="0"/>
        <v>0</v>
      </c>
      <c r="J11" s="4"/>
    </row>
    <row r="12" spans="2:16" x14ac:dyDescent="0.3">
      <c r="B12" s="43"/>
      <c r="C12" s="3" t="s">
        <v>18</v>
      </c>
      <c r="D12" s="3">
        <v>184</v>
      </c>
      <c r="E12" s="3">
        <v>104</v>
      </c>
      <c r="F12" s="3">
        <v>80</v>
      </c>
      <c r="G12" s="3">
        <v>1</v>
      </c>
      <c r="H12" s="18">
        <f t="shared" si="1"/>
        <v>56.521739130434781</v>
      </c>
      <c r="I12" s="22">
        <f t="shared" si="0"/>
        <v>0.54054054054054057</v>
      </c>
      <c r="J12" s="4"/>
    </row>
    <row r="13" spans="2:16" x14ac:dyDescent="0.3">
      <c r="B13" s="43" t="s">
        <v>20</v>
      </c>
      <c r="C13" s="1" t="s">
        <v>15</v>
      </c>
      <c r="D13" s="1">
        <v>25</v>
      </c>
      <c r="E13" s="1">
        <v>5</v>
      </c>
      <c r="F13" s="1">
        <v>20</v>
      </c>
      <c r="G13" s="1">
        <v>160</v>
      </c>
      <c r="H13" s="19">
        <f t="shared" si="1"/>
        <v>20</v>
      </c>
      <c r="I13" s="23">
        <f t="shared" si="0"/>
        <v>86.486486486486484</v>
      </c>
      <c r="J13" s="4"/>
    </row>
    <row r="14" spans="2:16" x14ac:dyDescent="0.3">
      <c r="B14" s="43"/>
      <c r="C14" s="1" t="s">
        <v>16</v>
      </c>
      <c r="D14" s="1">
        <v>16</v>
      </c>
      <c r="E14" s="1">
        <v>6</v>
      </c>
      <c r="F14" s="1">
        <v>10</v>
      </c>
      <c r="G14" s="1">
        <v>169</v>
      </c>
      <c r="H14" s="19">
        <f t="shared" si="1"/>
        <v>37.5</v>
      </c>
      <c r="I14" s="23">
        <f t="shared" si="0"/>
        <v>91.351351351351354</v>
      </c>
      <c r="J14" s="4"/>
      <c r="K14" s="44" t="s">
        <v>24</v>
      </c>
      <c r="L14" s="45"/>
      <c r="M14" s="45"/>
      <c r="N14" s="45"/>
      <c r="O14" s="45"/>
      <c r="P14" s="46"/>
    </row>
    <row r="15" spans="2:16" x14ac:dyDescent="0.3">
      <c r="B15" s="43"/>
      <c r="C15" s="1" t="s">
        <v>18</v>
      </c>
      <c r="D15" s="1">
        <v>13</v>
      </c>
      <c r="E15" s="1">
        <v>4</v>
      </c>
      <c r="F15" s="1">
        <v>9</v>
      </c>
      <c r="G15" s="1">
        <v>172</v>
      </c>
      <c r="H15" s="19">
        <f t="shared" si="1"/>
        <v>30.76923076923077</v>
      </c>
      <c r="I15" s="23">
        <f t="shared" si="0"/>
        <v>92.972972972972983</v>
      </c>
      <c r="J15" s="4"/>
      <c r="K15" s="52" t="s">
        <v>25</v>
      </c>
      <c r="L15" s="53"/>
      <c r="M15" s="52" t="s">
        <v>16</v>
      </c>
      <c r="N15" s="53"/>
      <c r="O15" s="52" t="s">
        <v>15</v>
      </c>
      <c r="P15" s="53"/>
    </row>
    <row r="16" spans="2:16" x14ac:dyDescent="0.3">
      <c r="B16" s="47" t="s">
        <v>21</v>
      </c>
      <c r="C16" s="3" t="s">
        <v>15</v>
      </c>
      <c r="D16" s="3">
        <v>182</v>
      </c>
      <c r="E16" s="3">
        <v>66</v>
      </c>
      <c r="F16" s="3">
        <v>116</v>
      </c>
      <c r="G16" s="3">
        <v>3</v>
      </c>
      <c r="H16" s="18">
        <f t="shared" si="1"/>
        <v>36.263736263736263</v>
      </c>
      <c r="I16" s="22">
        <f t="shared" si="0"/>
        <v>1.6216216216216217</v>
      </c>
      <c r="J16" s="4"/>
      <c r="K16" s="21" t="s">
        <v>2</v>
      </c>
      <c r="L16" s="10" t="s">
        <v>26</v>
      </c>
      <c r="M16" s="21" t="s">
        <v>2</v>
      </c>
      <c r="N16" s="10" t="s">
        <v>26</v>
      </c>
      <c r="O16" s="21" t="s">
        <v>2</v>
      </c>
      <c r="P16" s="10" t="s">
        <v>26</v>
      </c>
    </row>
    <row r="17" spans="2:16" x14ac:dyDescent="0.3">
      <c r="B17" s="48"/>
      <c r="C17" s="3" t="s">
        <v>16</v>
      </c>
      <c r="D17" s="3">
        <v>100</v>
      </c>
      <c r="E17" s="3">
        <v>44</v>
      </c>
      <c r="F17" s="3">
        <v>56</v>
      </c>
      <c r="G17" s="3">
        <v>85</v>
      </c>
      <c r="H17" s="18">
        <f t="shared" si="1"/>
        <v>44</v>
      </c>
      <c r="I17" s="22">
        <f t="shared" si="0"/>
        <v>45.945945945945951</v>
      </c>
      <c r="J17" s="4"/>
      <c r="K17" s="1" t="s">
        <v>14</v>
      </c>
      <c r="L17" s="11">
        <v>55.135135135135137</v>
      </c>
      <c r="M17" s="1" t="s">
        <v>14</v>
      </c>
      <c r="N17" s="11">
        <v>62.702702702702709</v>
      </c>
      <c r="O17" s="1" t="s">
        <v>23</v>
      </c>
      <c r="P17" s="11">
        <v>63.78378378378379</v>
      </c>
    </row>
    <row r="18" spans="2:16" x14ac:dyDescent="0.3">
      <c r="B18" s="49"/>
      <c r="C18" s="24" t="s">
        <v>18</v>
      </c>
      <c r="D18" s="24"/>
      <c r="E18" s="24"/>
      <c r="F18" s="24"/>
      <c r="G18" s="24"/>
      <c r="H18" s="25"/>
      <c r="I18" s="26"/>
      <c r="J18" s="4"/>
      <c r="K18" s="1" t="s">
        <v>19</v>
      </c>
      <c r="L18" s="11">
        <v>56.521739130434781</v>
      </c>
      <c r="M18" s="1" t="s">
        <v>19</v>
      </c>
      <c r="N18" s="11">
        <v>60.540540540540547</v>
      </c>
      <c r="O18" s="1" t="s">
        <v>17</v>
      </c>
      <c r="P18" s="11">
        <v>60.10928961748634</v>
      </c>
    </row>
    <row r="19" spans="2:16" x14ac:dyDescent="0.3">
      <c r="B19" s="43" t="s">
        <v>22</v>
      </c>
      <c r="C19" s="1" t="s">
        <v>15</v>
      </c>
      <c r="D19" s="1">
        <v>185</v>
      </c>
      <c r="E19" s="1">
        <v>109</v>
      </c>
      <c r="F19" s="1">
        <v>76</v>
      </c>
      <c r="G19" s="1">
        <v>0</v>
      </c>
      <c r="H19" s="19">
        <f t="shared" si="1"/>
        <v>58.918918918918919</v>
      </c>
      <c r="I19" s="23">
        <f>(G19/$D$29)*100</f>
        <v>0</v>
      </c>
      <c r="J19" s="4"/>
      <c r="K19" s="1"/>
      <c r="L19" s="11"/>
      <c r="M19" s="1"/>
      <c r="N19" s="11"/>
      <c r="O19" s="1"/>
      <c r="P19" s="11"/>
    </row>
    <row r="20" spans="2:16" x14ac:dyDescent="0.3">
      <c r="B20" s="43"/>
      <c r="C20" s="1" t="s">
        <v>16</v>
      </c>
      <c r="D20" s="1">
        <v>112</v>
      </c>
      <c r="E20" s="1">
        <v>56</v>
      </c>
      <c r="F20" s="1">
        <v>56</v>
      </c>
      <c r="G20" s="1">
        <v>73</v>
      </c>
      <c r="H20" s="19">
        <f t="shared" si="1"/>
        <v>50</v>
      </c>
      <c r="I20" s="23">
        <f>(G20/$D$29)*100</f>
        <v>39.45945945945946</v>
      </c>
      <c r="J20" s="4"/>
      <c r="K20" s="1" t="s">
        <v>17</v>
      </c>
      <c r="L20" s="11">
        <v>41.221374045801525</v>
      </c>
      <c r="M20" s="1" t="s">
        <v>17</v>
      </c>
      <c r="N20" s="11">
        <v>58.378378378378379</v>
      </c>
      <c r="O20" s="1" t="s">
        <v>20</v>
      </c>
      <c r="P20" s="11">
        <v>58.918918918918919</v>
      </c>
    </row>
    <row r="21" spans="2:16" x14ac:dyDescent="0.3">
      <c r="B21" s="43"/>
      <c r="C21" s="1" t="s">
        <v>18</v>
      </c>
      <c r="D21" s="1">
        <v>87</v>
      </c>
      <c r="E21" s="1">
        <v>33</v>
      </c>
      <c r="F21" s="1">
        <v>54</v>
      </c>
      <c r="G21" s="1">
        <v>98</v>
      </c>
      <c r="H21" s="19">
        <f t="shared" si="1"/>
        <v>37.931034482758619</v>
      </c>
      <c r="I21" s="23">
        <f>(G21/$D$29)*100</f>
        <v>52.972972972972975</v>
      </c>
      <c r="J21" s="4"/>
      <c r="K21" s="1" t="s">
        <v>22</v>
      </c>
      <c r="L21" s="11">
        <v>37.931034482758619</v>
      </c>
      <c r="M21" s="1" t="s">
        <v>22</v>
      </c>
      <c r="N21" s="11">
        <v>50</v>
      </c>
      <c r="O21" s="1" t="s">
        <v>14</v>
      </c>
      <c r="P21" s="11">
        <v>57.837837837837839</v>
      </c>
    </row>
    <row r="22" spans="2:16" x14ac:dyDescent="0.3">
      <c r="B22" s="50" t="s">
        <v>23</v>
      </c>
      <c r="C22" s="3" t="s">
        <v>15</v>
      </c>
      <c r="D22" s="3">
        <v>185</v>
      </c>
      <c r="E22" s="3">
        <v>118</v>
      </c>
      <c r="F22" s="3">
        <v>67</v>
      </c>
      <c r="G22" s="3">
        <v>0</v>
      </c>
      <c r="H22" s="18">
        <f t="shared" si="1"/>
        <v>63.78378378378379</v>
      </c>
      <c r="I22" s="22">
        <f>(G22/$D$29)*100</f>
        <v>0</v>
      </c>
      <c r="J22" s="4"/>
      <c r="K22" s="1" t="s">
        <v>20</v>
      </c>
      <c r="L22" s="11">
        <v>30.76923076923077</v>
      </c>
      <c r="M22" s="1" t="s">
        <v>21</v>
      </c>
      <c r="N22" s="11">
        <v>44</v>
      </c>
      <c r="O22" s="1" t="s">
        <v>19</v>
      </c>
      <c r="P22" s="11">
        <v>57.837837837837839</v>
      </c>
    </row>
    <row r="23" spans="2:16" x14ac:dyDescent="0.3">
      <c r="B23" s="51"/>
      <c r="C23" s="3" t="s">
        <v>16</v>
      </c>
      <c r="D23" s="5">
        <v>103</v>
      </c>
      <c r="E23" s="5">
        <v>34</v>
      </c>
      <c r="F23" s="5">
        <v>69</v>
      </c>
      <c r="G23" s="5">
        <v>32</v>
      </c>
      <c r="H23" s="18">
        <f t="shared" si="1"/>
        <v>33.009708737864081</v>
      </c>
      <c r="I23" s="22">
        <f>(G23/$D$29)*100</f>
        <v>17.297297297297298</v>
      </c>
      <c r="J23" s="4"/>
      <c r="M23" s="1" t="s">
        <v>20</v>
      </c>
      <c r="N23" s="11">
        <v>37.5</v>
      </c>
      <c r="O23" s="1" t="s">
        <v>21</v>
      </c>
      <c r="P23" s="11">
        <v>36.263736263736263</v>
      </c>
    </row>
    <row r="24" spans="2:16" x14ac:dyDescent="0.3">
      <c r="B24" s="51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23</v>
      </c>
      <c r="N24" s="11">
        <v>33.009708737864081</v>
      </c>
      <c r="O24" s="1" t="s">
        <v>22</v>
      </c>
      <c r="P24" s="11">
        <v>20</v>
      </c>
    </row>
    <row r="25" spans="2:16" x14ac:dyDescent="0.3">
      <c r="J25" s="4"/>
    </row>
    <row r="27" spans="2:16" x14ac:dyDescent="0.3">
      <c r="B27" s="41" t="s">
        <v>27</v>
      </c>
      <c r="C27" s="41"/>
      <c r="D27" s="41"/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185</v>
      </c>
      <c r="D29" s="12">
        <v>185</v>
      </c>
    </row>
    <row r="30" spans="2:16" x14ac:dyDescent="0.3">
      <c r="B30" s="15" t="s">
        <v>32</v>
      </c>
      <c r="C30" s="12">
        <v>0</v>
      </c>
      <c r="D30" s="12">
        <v>0</v>
      </c>
    </row>
    <row r="31" spans="2:16" x14ac:dyDescent="0.3">
      <c r="B31" s="15" t="s">
        <v>33</v>
      </c>
      <c r="C31" s="12">
        <f>SUM(C29:C30)</f>
        <v>185</v>
      </c>
      <c r="D31" s="12">
        <f t="shared" ref="D31" si="2">SUM(D29:D30)</f>
        <v>185</v>
      </c>
    </row>
  </sheetData>
  <mergeCells count="15">
    <mergeCell ref="B27:D27"/>
    <mergeCell ref="B2:I2"/>
    <mergeCell ref="K2:P2"/>
    <mergeCell ref="B4:B6"/>
    <mergeCell ref="B7:B9"/>
    <mergeCell ref="B3:C3"/>
    <mergeCell ref="K14:P14"/>
    <mergeCell ref="B10:B12"/>
    <mergeCell ref="B13:B15"/>
    <mergeCell ref="B16:B18"/>
    <mergeCell ref="B22:B24"/>
    <mergeCell ref="K15:L15"/>
    <mergeCell ref="M15:N15"/>
    <mergeCell ref="O15:P15"/>
    <mergeCell ref="B19:B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946C-E96F-4BDB-8667-07C2AF88758F}">
  <sheetPr>
    <tabColor theme="7" tint="0.59999389629810485"/>
  </sheetPr>
  <dimension ref="B2:P31"/>
  <sheetViews>
    <sheetView tabSelected="1" topLeftCell="A3" zoomScale="76" zoomScaleNormal="70" workbookViewId="0">
      <selection activeCell="G27" sqref="G27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7" t="s">
        <v>34</v>
      </c>
      <c r="C2" s="38"/>
      <c r="D2" s="38"/>
      <c r="E2" s="38"/>
      <c r="F2" s="38"/>
      <c r="G2" s="38"/>
      <c r="H2" s="38"/>
      <c r="I2" s="38"/>
      <c r="K2" s="42" t="s">
        <v>1</v>
      </c>
      <c r="L2" s="42"/>
      <c r="M2" s="42"/>
      <c r="N2" s="42"/>
      <c r="O2" s="42"/>
      <c r="P2" s="42"/>
    </row>
    <row r="3" spans="2:16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43" t="s">
        <v>14</v>
      </c>
      <c r="C4" s="3" t="s">
        <v>15</v>
      </c>
      <c r="D4" s="3">
        <v>6961</v>
      </c>
      <c r="E4" s="3">
        <v>3367</v>
      </c>
      <c r="F4" s="3">
        <v>3594</v>
      </c>
      <c r="G4" s="3">
        <v>16</v>
      </c>
      <c r="H4" s="18">
        <f>(E4/D4)*100</f>
        <v>48.36948714265192</v>
      </c>
      <c r="I4" s="22">
        <f t="shared" ref="I4:I17" si="0">(G4/$D$29)*100</f>
        <v>0.22932492475275906</v>
      </c>
      <c r="J4" s="4"/>
      <c r="K4" s="14" t="s">
        <v>14</v>
      </c>
      <c r="L4" s="7">
        <f>H5-H6</f>
        <v>2.0731534354359695</v>
      </c>
      <c r="M4" s="8"/>
      <c r="N4" s="7">
        <f>H4-H5</f>
        <v>0.57336366813648709</v>
      </c>
      <c r="O4" s="8"/>
      <c r="P4" s="7">
        <f>H4-H6</f>
        <v>2.6465171035724566</v>
      </c>
    </row>
    <row r="5" spans="2:16" x14ac:dyDescent="0.3">
      <c r="B5" s="43"/>
      <c r="C5" s="3" t="s">
        <v>16</v>
      </c>
      <c r="D5" s="3">
        <f>MEDICINA!D5+ENFERMERÍA!D5+BIOLOGÍA!D5+FARMACIA!D5+PSICOLOGÍA!D5+FÍSICA!D5+QUÍMICA!D5</f>
        <v>6965</v>
      </c>
      <c r="E5" s="3">
        <f>MEDICINA!E5+ENFERMERÍA!E5+BIOLOGÍA!E5+FARMACIA!E5+PSICOLOGÍA!E5+FÍSICA!E5+QUÍMICA!E5</f>
        <v>3329</v>
      </c>
      <c r="F5" s="3">
        <f>MEDICINA!F5+ENFERMERÍA!F5+BIOLOGÍA!F5+FARMACIA!F5+PSICOLOGÍA!F5+FÍSICA!F5+QUÍMICA!F5</f>
        <v>3636</v>
      </c>
      <c r="G5" s="3">
        <f>MEDICINA!G5+ENFERMERÍA!G5+BIOLOGÍA!G5+FARMACIA!G5+PSICOLOGÍA!G5+FÍSICA!G5+QUÍMICA!G5</f>
        <v>12</v>
      </c>
      <c r="H5" s="18">
        <f t="shared" ref="H5:H23" si="1">(E5/D5)*100</f>
        <v>47.796123474515433</v>
      </c>
      <c r="I5" s="22">
        <f t="shared" si="0"/>
        <v>0.17199369356456928</v>
      </c>
      <c r="J5" s="4"/>
      <c r="K5" s="14" t="s">
        <v>17</v>
      </c>
      <c r="L5" s="7">
        <f>H8-H9</f>
        <v>8.3428038356178575</v>
      </c>
      <c r="M5" s="8"/>
      <c r="N5" s="7">
        <f>H7-H8</f>
        <v>-0.15743539061642764</v>
      </c>
      <c r="O5" s="8"/>
      <c r="P5" s="7">
        <f>H7-H9</f>
        <v>8.1853684450014299</v>
      </c>
    </row>
    <row r="6" spans="2:16" x14ac:dyDescent="0.3">
      <c r="B6" s="43"/>
      <c r="C6" s="3" t="s">
        <v>18</v>
      </c>
      <c r="D6" s="3">
        <v>6909</v>
      </c>
      <c r="E6" s="3">
        <v>3159</v>
      </c>
      <c r="F6" s="3">
        <v>3750</v>
      </c>
      <c r="G6" s="3">
        <v>68</v>
      </c>
      <c r="H6" s="18">
        <f t="shared" si="1"/>
        <v>45.722970039079463</v>
      </c>
      <c r="I6" s="22">
        <f t="shared" si="0"/>
        <v>0.97463093019922609</v>
      </c>
      <c r="J6" s="4"/>
      <c r="K6" s="14" t="s">
        <v>19</v>
      </c>
      <c r="L6" s="7">
        <f>H11-H12</f>
        <v>0.30270311683732842</v>
      </c>
      <c r="M6" s="8"/>
      <c r="N6" s="7">
        <f>H10-H11</f>
        <v>0.27561836840345677</v>
      </c>
      <c r="O6" s="8"/>
      <c r="P6" s="7">
        <f>H10-H12</f>
        <v>0.57832148524078519</v>
      </c>
    </row>
    <row r="7" spans="2:16" x14ac:dyDescent="0.3">
      <c r="B7" s="43" t="s">
        <v>17</v>
      </c>
      <c r="C7" s="1" t="s">
        <v>15</v>
      </c>
      <c r="D7" s="1">
        <v>6924</v>
      </c>
      <c r="E7" s="1">
        <v>3041</v>
      </c>
      <c r="F7" s="1">
        <v>3883</v>
      </c>
      <c r="G7" s="1">
        <v>53</v>
      </c>
      <c r="H7" s="19">
        <f t="shared" si="1"/>
        <v>43.919699595609472</v>
      </c>
      <c r="I7" s="23">
        <f t="shared" si="0"/>
        <v>0.75963881324351445</v>
      </c>
      <c r="J7" s="4"/>
      <c r="K7" s="14" t="s">
        <v>20</v>
      </c>
      <c r="L7" s="7">
        <f>H14-H15</f>
        <v>-0.13338324287229142</v>
      </c>
      <c r="M7" s="8"/>
      <c r="N7" s="7">
        <f>H13-H14</f>
        <v>0.44738624504733693</v>
      </c>
      <c r="O7" s="8"/>
      <c r="P7" s="7">
        <f>H13-H15</f>
        <v>0.31400300217504551</v>
      </c>
    </row>
    <row r="8" spans="2:16" x14ac:dyDescent="0.3">
      <c r="B8" s="43"/>
      <c r="C8" s="1" t="s">
        <v>16</v>
      </c>
      <c r="D8" s="1">
        <f>MEDICINA!D8+ENFERMERÍA!D8+BIOLOGÍA!D8+FARMACIA!D8+PSICOLOGÍA!D8+FÍSICA!D8+QUÍMICA!D8</f>
        <v>6897</v>
      </c>
      <c r="E8" s="1">
        <f>MEDICINA!E8+ENFERMERÍA!E8+BIOLOGÍA!E8+FARMACIA!E8+PSICOLOGÍA!E8+FÍSICA!E8+QUÍMICA!E8</f>
        <v>3040</v>
      </c>
      <c r="F8" s="1">
        <f>MEDICINA!F8+ENFERMERÍA!F8+BIOLOGÍA!F8+FARMACIA!F8+PSICOLOGÍA!F8+FÍSICA!F8+QUÍMICA!F8</f>
        <v>3797</v>
      </c>
      <c r="G8" s="1">
        <f>MEDICINA!G8+ENFERMERÍA!G8+BIOLOGÍA!G8+FARMACIA!G8+PSICOLOGÍA!G8+FÍSICA!G8+QUÍMICA!G8</f>
        <v>80</v>
      </c>
      <c r="H8" s="19">
        <f t="shared" si="1"/>
        <v>44.0771349862259</v>
      </c>
      <c r="I8" s="23">
        <f t="shared" si="0"/>
        <v>1.1466246237637954</v>
      </c>
      <c r="J8" s="4"/>
      <c r="K8" s="14" t="s">
        <v>21</v>
      </c>
      <c r="L8" s="9"/>
      <c r="M8" s="7">
        <f>H17-H14</f>
        <v>6.3500718936889236</v>
      </c>
      <c r="N8" s="7">
        <f>H16-H17</f>
        <v>-1.6369695395635375E-2</v>
      </c>
      <c r="O8" s="7">
        <f>H16-H13</f>
        <v>5.8863159532459512</v>
      </c>
      <c r="P8" s="7">
        <f>H16-H15</f>
        <v>6.2003189554209968</v>
      </c>
    </row>
    <row r="9" spans="2:16" x14ac:dyDescent="0.3">
      <c r="B9" s="43"/>
      <c r="C9" s="1" t="s">
        <v>18</v>
      </c>
      <c r="D9" s="1">
        <v>5345</v>
      </c>
      <c r="E9" s="1">
        <v>1910</v>
      </c>
      <c r="F9" s="1">
        <v>3435</v>
      </c>
      <c r="G9" s="1">
        <v>1632</v>
      </c>
      <c r="H9" s="19">
        <f t="shared" si="1"/>
        <v>35.734331150608043</v>
      </c>
      <c r="I9" s="23">
        <f t="shared" si="0"/>
        <v>23.391142324781423</v>
      </c>
      <c r="J9" s="4"/>
      <c r="K9" s="14" t="s">
        <v>22</v>
      </c>
      <c r="L9" s="7">
        <f>H20-H21</f>
        <v>15.816487190567614</v>
      </c>
      <c r="M9" s="8"/>
      <c r="N9" s="7">
        <f>H19-H20</f>
        <v>-7.5459641004111759</v>
      </c>
      <c r="O9" s="8"/>
      <c r="P9" s="7">
        <f>H19-H21</f>
        <v>8.2705230901564377</v>
      </c>
    </row>
    <row r="10" spans="2:16" x14ac:dyDescent="0.3">
      <c r="B10" s="43" t="s">
        <v>19</v>
      </c>
      <c r="C10" s="3" t="s">
        <v>15</v>
      </c>
      <c r="D10" s="3">
        <v>6918</v>
      </c>
      <c r="E10" s="3">
        <v>3030</v>
      </c>
      <c r="F10" s="3">
        <v>3888</v>
      </c>
      <c r="G10" s="3">
        <v>50</v>
      </c>
      <c r="H10" s="18">
        <f t="shared" si="1"/>
        <v>43.798785776235903</v>
      </c>
      <c r="I10" s="22">
        <f t="shared" si="0"/>
        <v>0.71664038985237211</v>
      </c>
      <c r="J10" s="4"/>
      <c r="K10" s="14" t="s">
        <v>23</v>
      </c>
      <c r="L10" s="9"/>
      <c r="M10" s="7">
        <f>H23-H20</f>
        <v>-1.5549564499432549</v>
      </c>
      <c r="N10" s="7">
        <f>H22-H23</f>
        <v>-18.015882709527883</v>
      </c>
      <c r="O10" s="7">
        <f>H22-H20</f>
        <v>-19.570839159471138</v>
      </c>
      <c r="P10" s="7">
        <f>H22-H21</f>
        <v>-3.7543519689035243</v>
      </c>
    </row>
    <row r="11" spans="2:16" x14ac:dyDescent="0.3">
      <c r="B11" s="43"/>
      <c r="C11" s="3" t="s">
        <v>16</v>
      </c>
      <c r="D11" s="3">
        <f>MEDICINA!D11+ENFERMERÍA!D11+BIOLOGÍA!D11+FARMACIA!D11+PSICOLOGÍA!D11+FÍSICA!D11+QUÍMICA!D11</f>
        <v>6971</v>
      </c>
      <c r="E11" s="3">
        <f>MEDICINA!E11+ENFERMERÍA!E11+BIOLOGÍA!E11+FARMACIA!E11+PSICOLOGÍA!E11+FÍSICA!E11+QUÍMICA!E11</f>
        <v>3034</v>
      </c>
      <c r="F11" s="3">
        <f>MEDICINA!F11+ENFERMERÍA!F11+BIOLOGÍA!F11+FARMACIA!F11+PSICOLOGÍA!F11+FÍSICA!F11+QUÍMICA!F11</f>
        <v>3937</v>
      </c>
      <c r="G11" s="3">
        <f>MEDICINA!G11+ENFERMERÍA!G11+BIOLOGÍA!G11+FARMACIA!G11+PSICOLOGÍA!G11+FÍSICA!G11+QUÍMICA!G11</f>
        <v>6</v>
      </c>
      <c r="H11" s="18">
        <f t="shared" si="1"/>
        <v>43.523167407832446</v>
      </c>
      <c r="I11" s="22">
        <f t="shared" si="0"/>
        <v>8.5996846782284642E-2</v>
      </c>
      <c r="J11" s="4"/>
    </row>
    <row r="12" spans="2:16" x14ac:dyDescent="0.3">
      <c r="B12" s="43"/>
      <c r="C12" s="3" t="s">
        <v>18</v>
      </c>
      <c r="D12" s="3">
        <v>6763</v>
      </c>
      <c r="E12" s="3">
        <v>2923</v>
      </c>
      <c r="F12" s="3">
        <v>3840</v>
      </c>
      <c r="G12" s="3">
        <v>214</v>
      </c>
      <c r="H12" s="18">
        <f t="shared" si="1"/>
        <v>43.220464290995118</v>
      </c>
      <c r="I12" s="22">
        <f t="shared" si="0"/>
        <v>3.0672208685681523</v>
      </c>
      <c r="J12" s="4"/>
    </row>
    <row r="13" spans="2:16" x14ac:dyDescent="0.3">
      <c r="B13" s="43" t="s">
        <v>20</v>
      </c>
      <c r="C13" s="1" t="s">
        <v>15</v>
      </c>
      <c r="D13" s="1">
        <v>2511</v>
      </c>
      <c r="E13" s="1">
        <v>641</v>
      </c>
      <c r="F13" s="1">
        <v>1870</v>
      </c>
      <c r="G13" s="1">
        <v>4466</v>
      </c>
      <c r="H13" s="19">
        <f t="shared" si="1"/>
        <v>25.527678215850258</v>
      </c>
      <c r="I13" s="23">
        <f t="shared" si="0"/>
        <v>64.010319621613874</v>
      </c>
      <c r="J13" s="4"/>
    </row>
    <row r="14" spans="2:16" x14ac:dyDescent="0.3">
      <c r="B14" s="43"/>
      <c r="C14" s="1" t="s">
        <v>16</v>
      </c>
      <c r="D14" s="1">
        <f>MEDICINA!D14+ENFERMERÍA!D14+BIOLOGÍA!D14+FARMACIA!D14+PSICOLOGÍA!D14+FÍSICA!D14+QUÍMICA!D14</f>
        <v>3425</v>
      </c>
      <c r="E14" s="1">
        <f>MEDICINA!E14+ENFERMERÍA!E14+BIOLOGÍA!E14+FARMACIA!E14+PSICOLOGÍA!E14+FÍSICA!E14+QUÍMICA!E14</f>
        <v>859</v>
      </c>
      <c r="F14" s="1">
        <f>MEDICINA!F14+ENFERMERÍA!F14+BIOLOGÍA!F14+FARMACIA!F14+PSICOLOGÍA!F14+FÍSICA!F14+QUÍMICA!F14</f>
        <v>2566</v>
      </c>
      <c r="G14" s="1">
        <f>MEDICINA!G14+ENFERMERÍA!G14+BIOLOGÍA!G14+FARMACIA!G14+PSICOLOGÍA!G14+FÍSICA!G14+QUÍMICA!G14</f>
        <v>3552</v>
      </c>
      <c r="H14" s="19">
        <f t="shared" si="1"/>
        <v>25.080291970802921</v>
      </c>
      <c r="I14" s="23">
        <f t="shared" si="0"/>
        <v>50.910133295112516</v>
      </c>
      <c r="J14" s="4"/>
    </row>
    <row r="15" spans="2:16" x14ac:dyDescent="0.3">
      <c r="B15" s="43"/>
      <c r="C15" s="1" t="s">
        <v>18</v>
      </c>
      <c r="D15" s="1">
        <v>1170</v>
      </c>
      <c r="E15" s="1">
        <v>295</v>
      </c>
      <c r="F15" s="1">
        <v>875</v>
      </c>
      <c r="G15" s="1">
        <v>5007</v>
      </c>
      <c r="H15" s="19">
        <f t="shared" si="1"/>
        <v>25.213675213675213</v>
      </c>
      <c r="I15" s="23">
        <f t="shared" si="0"/>
        <v>71.764368639816539</v>
      </c>
      <c r="J15" s="4"/>
      <c r="K15" s="44" t="s">
        <v>24</v>
      </c>
      <c r="L15" s="45"/>
      <c r="M15" s="45"/>
      <c r="N15" s="45"/>
      <c r="O15" s="45"/>
      <c r="P15" s="46"/>
    </row>
    <row r="16" spans="2:16" x14ac:dyDescent="0.3">
      <c r="B16" s="47" t="s">
        <v>21</v>
      </c>
      <c r="C16" s="3" t="s">
        <v>15</v>
      </c>
      <c r="D16" s="3">
        <v>6860</v>
      </c>
      <c r="E16" s="3">
        <v>2155</v>
      </c>
      <c r="F16" s="3">
        <v>4705</v>
      </c>
      <c r="G16" s="3">
        <v>116</v>
      </c>
      <c r="H16" s="18">
        <f t="shared" si="1"/>
        <v>31.41399416909621</v>
      </c>
      <c r="I16" s="22">
        <f t="shared" si="0"/>
        <v>1.6626057044575031</v>
      </c>
      <c r="J16" s="4"/>
      <c r="K16" s="52" t="s">
        <v>25</v>
      </c>
      <c r="L16" s="53"/>
      <c r="M16" s="52" t="s">
        <v>16</v>
      </c>
      <c r="N16" s="53"/>
      <c r="O16" s="52" t="s">
        <v>15</v>
      </c>
      <c r="P16" s="53"/>
    </row>
    <row r="17" spans="2:16" x14ac:dyDescent="0.3">
      <c r="B17" s="48"/>
      <c r="C17" s="3" t="s">
        <v>16</v>
      </c>
      <c r="D17" s="3">
        <v>6376</v>
      </c>
      <c r="E17" s="3">
        <v>2004</v>
      </c>
      <c r="F17" s="3">
        <v>4372</v>
      </c>
      <c r="G17" s="3">
        <v>601</v>
      </c>
      <c r="H17" s="18">
        <f t="shared" si="1"/>
        <v>31.430363864491845</v>
      </c>
      <c r="I17" s="22">
        <f t="shared" si="0"/>
        <v>8.6140174860255119</v>
      </c>
      <c r="J17" s="4"/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9"/>
      <c r="C18" s="24" t="s">
        <v>18</v>
      </c>
      <c r="D18" s="24"/>
      <c r="E18" s="24"/>
      <c r="F18" s="24"/>
      <c r="G18" s="24"/>
      <c r="H18" s="25"/>
      <c r="I18" s="26"/>
      <c r="J18" s="4"/>
      <c r="K18" s="1" t="s">
        <v>14</v>
      </c>
      <c r="L18" s="11">
        <v>45.722970039079463</v>
      </c>
      <c r="M18" s="1" t="s">
        <v>14</v>
      </c>
      <c r="N18" s="11">
        <v>47.796123474515433</v>
      </c>
      <c r="O18" s="1" t="s">
        <v>14</v>
      </c>
      <c r="P18" s="11">
        <v>48.36948714265192</v>
      </c>
    </row>
    <row r="19" spans="2:16" x14ac:dyDescent="0.3">
      <c r="B19" s="43" t="s">
        <v>22</v>
      </c>
      <c r="C19" s="1" t="s">
        <v>15</v>
      </c>
      <c r="D19" s="1">
        <v>3135</v>
      </c>
      <c r="E19" s="1">
        <v>1164</v>
      </c>
      <c r="F19" s="1">
        <v>1971</v>
      </c>
      <c r="G19" s="1">
        <v>3842</v>
      </c>
      <c r="H19" s="19">
        <f t="shared" si="1"/>
        <v>37.12918660287081</v>
      </c>
      <c r="I19" s="23">
        <f>(G19/$D$29)*100</f>
        <v>55.066647556256264</v>
      </c>
      <c r="J19" s="4"/>
      <c r="K19" s="1" t="s">
        <v>19</v>
      </c>
      <c r="L19" s="11">
        <v>43.220464290995118</v>
      </c>
      <c r="M19" s="1" t="s">
        <v>22</v>
      </c>
      <c r="N19" s="11">
        <v>44.675150703281986</v>
      </c>
      <c r="O19" s="1" t="s">
        <v>17</v>
      </c>
      <c r="P19" s="11">
        <v>43.919699595609472</v>
      </c>
    </row>
    <row r="20" spans="2:16" x14ac:dyDescent="0.3">
      <c r="B20" s="43"/>
      <c r="C20" s="1" t="s">
        <v>16</v>
      </c>
      <c r="D20" s="1">
        <f>MEDICINA!D20+ENFERMERÍA!D20+BIOLOGÍA!D20+FARMACIA!D20+PSICOLOGÍA!D20+FÍSICA!D20+QUÍMICA!D20</f>
        <v>5972</v>
      </c>
      <c r="E20" s="1">
        <f>MEDICINA!E20+ENFERMERÍA!E20+BIOLOGÍA!E20+FARMACIA!E20+PSICOLOGÍA!E20+FÍSICA!E20+QUÍMICA!E20</f>
        <v>2668</v>
      </c>
      <c r="F20" s="1">
        <f>MEDICINA!F20+ENFERMERÍA!F20+BIOLOGÍA!F20+FARMACIA!F20+PSICOLOGÍA!F20+FÍSICA!F20+QUÍMICA!F20</f>
        <v>3304</v>
      </c>
      <c r="G20" s="1">
        <f>MEDICINA!G20+ENFERMERÍA!G20+BIOLOGÍA!G20+FARMACIA!G20+PSICOLOGÍA!G20+FÍSICA!G20+QUÍMICA!G20</f>
        <v>1005</v>
      </c>
      <c r="H20" s="19">
        <f t="shared" si="1"/>
        <v>44.675150703281986</v>
      </c>
      <c r="I20" s="23">
        <f>(G20/$D$29)*100</f>
        <v>14.404471836032679</v>
      </c>
      <c r="J20" s="4"/>
      <c r="K20" s="1" t="s">
        <v>17</v>
      </c>
      <c r="L20" s="11">
        <v>35.734331150608043</v>
      </c>
      <c r="M20" s="1" t="s">
        <v>17</v>
      </c>
      <c r="N20" s="11">
        <v>44.0771349862259</v>
      </c>
      <c r="O20" s="1" t="s">
        <v>19</v>
      </c>
      <c r="P20" s="11">
        <v>43.798785776235903</v>
      </c>
    </row>
    <row r="21" spans="2:16" x14ac:dyDescent="0.3">
      <c r="B21" s="43"/>
      <c r="C21" s="1" t="s">
        <v>18</v>
      </c>
      <c r="D21" s="1">
        <v>1691</v>
      </c>
      <c r="E21" s="1">
        <v>488</v>
      </c>
      <c r="F21" s="1">
        <v>1203</v>
      </c>
      <c r="G21" s="1">
        <v>5286</v>
      </c>
      <c r="H21" s="19">
        <f t="shared" si="1"/>
        <v>28.858663512714372</v>
      </c>
      <c r="I21" s="23">
        <f>(G21/$D$29)*100</f>
        <v>75.763222015192781</v>
      </c>
      <c r="J21" s="4"/>
      <c r="K21" s="1" t="s">
        <v>22</v>
      </c>
      <c r="L21" s="11">
        <v>28.858663512714372</v>
      </c>
      <c r="M21" s="1" t="s">
        <v>19</v>
      </c>
      <c r="N21" s="11">
        <v>43.523167407832446</v>
      </c>
      <c r="O21" s="1" t="s">
        <v>22</v>
      </c>
      <c r="P21" s="11">
        <v>37.12918660287081</v>
      </c>
    </row>
    <row r="22" spans="2:16" x14ac:dyDescent="0.3">
      <c r="B22" s="43" t="s">
        <v>23</v>
      </c>
      <c r="C22" s="3" t="s">
        <v>15</v>
      </c>
      <c r="D22" s="3">
        <v>1438</v>
      </c>
      <c r="E22" s="3">
        <v>361</v>
      </c>
      <c r="F22" s="3">
        <v>1077</v>
      </c>
      <c r="G22" s="3">
        <v>5539</v>
      </c>
      <c r="H22" s="18">
        <f t="shared" si="1"/>
        <v>25.104311543810848</v>
      </c>
      <c r="I22" s="22">
        <f>(G22/$D$29)*100</f>
        <v>79.389422387845769</v>
      </c>
      <c r="J22" s="4"/>
      <c r="K22" s="1" t="s">
        <v>20</v>
      </c>
      <c r="L22" s="11">
        <v>25.213675213675213</v>
      </c>
      <c r="M22" s="1" t="s">
        <v>23</v>
      </c>
      <c r="N22" s="11">
        <v>43.120194253338731</v>
      </c>
      <c r="O22" s="1" t="s">
        <v>21</v>
      </c>
      <c r="P22" s="11">
        <v>31.41399416909621</v>
      </c>
    </row>
    <row r="23" spans="2:16" x14ac:dyDescent="0.3">
      <c r="B23" s="43"/>
      <c r="C23" s="3" t="s">
        <v>16</v>
      </c>
      <c r="D23" s="5">
        <v>4942</v>
      </c>
      <c r="E23" s="5">
        <v>2131</v>
      </c>
      <c r="F23" s="5">
        <v>2811</v>
      </c>
      <c r="G23" s="5">
        <v>2035</v>
      </c>
      <c r="H23" s="18">
        <f t="shared" si="1"/>
        <v>43.120194253338731</v>
      </c>
      <c r="I23" s="22">
        <f>(G23/$D$29)*100</f>
        <v>29.167263866991544</v>
      </c>
      <c r="J23" s="4"/>
      <c r="M23" s="1" t="s">
        <v>21</v>
      </c>
      <c r="N23" s="11">
        <v>31.430363864491845</v>
      </c>
      <c r="O23" s="1" t="s">
        <v>20</v>
      </c>
      <c r="P23" s="11">
        <v>25.527678215850258</v>
      </c>
    </row>
    <row r="24" spans="2:16" x14ac:dyDescent="0.3">
      <c r="B24" s="43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20</v>
      </c>
      <c r="N24" s="11">
        <v>25.080291970802921</v>
      </c>
      <c r="O24" s="1" t="s">
        <v>23</v>
      </c>
      <c r="P24" s="11">
        <v>25.104311543810848</v>
      </c>
    </row>
    <row r="25" spans="2:16" x14ac:dyDescent="0.3">
      <c r="J25" s="4"/>
    </row>
    <row r="26" spans="2:16" x14ac:dyDescent="0.3">
      <c r="J26" s="4"/>
    </row>
    <row r="27" spans="2:16" x14ac:dyDescent="0.3">
      <c r="B27" s="41" t="s">
        <v>27</v>
      </c>
      <c r="C27" s="41"/>
      <c r="D27" s="41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6977</v>
      </c>
      <c r="D29" s="12">
        <v>6977</v>
      </c>
      <c r="E29">
        <v>2.5399999999999999E-2</v>
      </c>
    </row>
    <row r="30" spans="2:16" x14ac:dyDescent="0.3">
      <c r="B30" s="15" t="s">
        <v>32</v>
      </c>
      <c r="C30" s="12">
        <v>182</v>
      </c>
      <c r="D30" s="12"/>
      <c r="E30">
        <v>0.97460000000000002</v>
      </c>
    </row>
    <row r="31" spans="2:16" x14ac:dyDescent="0.3">
      <c r="B31" s="15" t="s">
        <v>33</v>
      </c>
      <c r="C31" s="12">
        <f>SUM(C29:C30)</f>
        <v>7159</v>
      </c>
      <c r="D31" s="12">
        <f t="shared" ref="D31" si="2">SUM(D29:D30)</f>
        <v>6977</v>
      </c>
    </row>
  </sheetData>
  <mergeCells count="15">
    <mergeCell ref="B27:D27"/>
    <mergeCell ref="B19:B21"/>
    <mergeCell ref="B13:B15"/>
    <mergeCell ref="K15:P15"/>
    <mergeCell ref="O16:P16"/>
    <mergeCell ref="M16:N16"/>
    <mergeCell ref="K16:L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04CF-5B8D-4925-81C4-B1851825F4A5}">
  <sheetPr>
    <tabColor theme="9" tint="0.59999389629810485"/>
  </sheetPr>
  <dimension ref="B2:AB50"/>
  <sheetViews>
    <sheetView topLeftCell="A50" zoomScaleNormal="100" workbookViewId="0">
      <selection activeCell="G8" sqref="G8"/>
    </sheetView>
  </sheetViews>
  <sheetFormatPr baseColWidth="10" defaultColWidth="11.44140625" defaultRowHeight="14.4" x14ac:dyDescent="0.3"/>
  <cols>
    <col min="2" max="28" width="12.5546875" customWidth="1"/>
  </cols>
  <sheetData>
    <row r="2" spans="2:5" x14ac:dyDescent="0.3">
      <c r="B2" s="29" t="s">
        <v>35</v>
      </c>
      <c r="C2" s="30" t="s">
        <v>25</v>
      </c>
      <c r="D2" s="30" t="s">
        <v>16</v>
      </c>
      <c r="E2" s="30" t="s">
        <v>15</v>
      </c>
    </row>
    <row r="3" spans="2:5" x14ac:dyDescent="0.3">
      <c r="B3" s="27" t="s">
        <v>14</v>
      </c>
      <c r="C3" s="1">
        <v>45.72</v>
      </c>
      <c r="D3" s="1">
        <v>47.8</v>
      </c>
      <c r="E3" s="1">
        <v>48.37</v>
      </c>
    </row>
    <row r="4" spans="2:5" x14ac:dyDescent="0.3">
      <c r="B4" s="27" t="s">
        <v>17</v>
      </c>
      <c r="C4" s="1">
        <v>35.729999999999997</v>
      </c>
      <c r="D4" s="1">
        <v>44.08</v>
      </c>
      <c r="E4" s="1">
        <v>43.92</v>
      </c>
    </row>
    <row r="5" spans="2:5" x14ac:dyDescent="0.3">
      <c r="B5" s="27" t="s">
        <v>19</v>
      </c>
      <c r="C5" s="1">
        <v>43.22</v>
      </c>
      <c r="D5" s="1">
        <v>43.52</v>
      </c>
      <c r="E5" s="1">
        <v>43.8</v>
      </c>
    </row>
    <row r="6" spans="2:5" ht="28.8" x14ac:dyDescent="0.3">
      <c r="B6" s="27" t="s">
        <v>20</v>
      </c>
      <c r="C6" s="1">
        <v>25.21</v>
      </c>
      <c r="D6" s="1">
        <v>25.08</v>
      </c>
      <c r="E6" s="1">
        <v>25.53</v>
      </c>
    </row>
    <row r="7" spans="2:5" x14ac:dyDescent="0.3">
      <c r="B7" s="27" t="s">
        <v>21</v>
      </c>
      <c r="C7" s="1"/>
      <c r="D7" s="1">
        <v>31.43</v>
      </c>
      <c r="E7" s="1">
        <v>31.41</v>
      </c>
    </row>
    <row r="8" spans="2:5" x14ac:dyDescent="0.3">
      <c r="B8" s="27" t="s">
        <v>22</v>
      </c>
      <c r="C8" s="1">
        <v>28.86</v>
      </c>
      <c r="D8" s="1">
        <v>44.68</v>
      </c>
      <c r="E8" s="1">
        <v>37.130000000000003</v>
      </c>
    </row>
    <row r="9" spans="2:5" x14ac:dyDescent="0.3">
      <c r="B9" s="27" t="s">
        <v>23</v>
      </c>
      <c r="C9" s="1"/>
      <c r="D9" s="1">
        <v>43.12</v>
      </c>
      <c r="E9" s="1">
        <v>25.1</v>
      </c>
    </row>
    <row r="20" spans="2:28" x14ac:dyDescent="0.3">
      <c r="P20" t="s">
        <v>37</v>
      </c>
    </row>
    <row r="29" spans="2:28" ht="28.8" x14ac:dyDescent="0.3">
      <c r="B29" s="31" t="s">
        <v>38</v>
      </c>
      <c r="C29" s="31" t="s">
        <v>39</v>
      </c>
      <c r="D29" s="32" t="s">
        <v>14</v>
      </c>
      <c r="F29" s="31" t="s">
        <v>38</v>
      </c>
      <c r="G29" s="31" t="s">
        <v>39</v>
      </c>
      <c r="H29" s="32" t="s">
        <v>19</v>
      </c>
      <c r="J29" s="31" t="s">
        <v>38</v>
      </c>
      <c r="K29" s="31" t="s">
        <v>39</v>
      </c>
      <c r="L29" s="32" t="s">
        <v>17</v>
      </c>
      <c r="N29" s="31" t="s">
        <v>38</v>
      </c>
      <c r="O29" s="31" t="s">
        <v>39</v>
      </c>
      <c r="P29" s="33" t="s">
        <v>20</v>
      </c>
      <c r="R29" s="31" t="s">
        <v>38</v>
      </c>
      <c r="S29" s="31" t="s">
        <v>39</v>
      </c>
      <c r="T29" s="33" t="s">
        <v>21</v>
      </c>
      <c r="V29" s="31" t="s">
        <v>38</v>
      </c>
      <c r="W29" s="31" t="s">
        <v>39</v>
      </c>
      <c r="X29" s="32" t="s">
        <v>22</v>
      </c>
      <c r="Z29" s="31" t="s">
        <v>38</v>
      </c>
      <c r="AA29" s="31" t="s">
        <v>39</v>
      </c>
      <c r="AB29" s="32" t="s">
        <v>23</v>
      </c>
    </row>
    <row r="30" spans="2:28" x14ac:dyDescent="0.3">
      <c r="B30" s="56" t="s">
        <v>40</v>
      </c>
      <c r="C30" s="27" t="s">
        <v>15</v>
      </c>
      <c r="D30" s="28">
        <v>49.444444444444443</v>
      </c>
      <c r="F30" s="56" t="s">
        <v>40</v>
      </c>
      <c r="G30" s="27" t="s">
        <v>15</v>
      </c>
      <c r="H30" s="28">
        <v>43.673012318029116</v>
      </c>
      <c r="J30" s="56" t="s">
        <v>40</v>
      </c>
      <c r="K30" s="27" t="s">
        <v>15</v>
      </c>
      <c r="L30" s="28">
        <v>40.777777777777779</v>
      </c>
      <c r="N30" s="56" t="s">
        <v>40</v>
      </c>
      <c r="O30" s="27" t="s">
        <v>15</v>
      </c>
      <c r="P30" s="28">
        <v>21.5962441314554</v>
      </c>
      <c r="R30" s="54" t="s">
        <v>40</v>
      </c>
      <c r="S30" s="27" t="s">
        <v>15</v>
      </c>
      <c r="T30" s="28">
        <v>30.201342281879196</v>
      </c>
      <c r="V30" s="56" t="s">
        <v>40</v>
      </c>
      <c r="W30" s="27" t="s">
        <v>15</v>
      </c>
      <c r="X30" s="28">
        <v>43.75</v>
      </c>
      <c r="Z30" s="54" t="s">
        <v>40</v>
      </c>
      <c r="AA30" s="27" t="s">
        <v>15</v>
      </c>
      <c r="AB30" s="28">
        <v>20.765027322404372</v>
      </c>
    </row>
    <row r="31" spans="2:28" x14ac:dyDescent="0.3">
      <c r="B31" s="56"/>
      <c r="C31" s="27" t="s">
        <v>16</v>
      </c>
      <c r="D31" s="28">
        <v>48.222222222222221</v>
      </c>
      <c r="F31" s="56"/>
      <c r="G31" s="27" t="s">
        <v>16</v>
      </c>
      <c r="H31" s="28">
        <v>43.56103023516237</v>
      </c>
      <c r="J31" s="56"/>
      <c r="K31" s="27" t="s">
        <v>16</v>
      </c>
      <c r="L31" s="28">
        <v>39.777777777777779</v>
      </c>
      <c r="N31" s="56"/>
      <c r="O31" s="27" t="s">
        <v>16</v>
      </c>
      <c r="P31" s="28">
        <v>26.51006711409396</v>
      </c>
      <c r="R31" s="55"/>
      <c r="S31" s="27" t="s">
        <v>16</v>
      </c>
      <c r="T31" s="28">
        <v>29.360100376411541</v>
      </c>
      <c r="V31" s="56"/>
      <c r="W31" s="27" t="s">
        <v>16</v>
      </c>
      <c r="X31" s="28">
        <v>33.75</v>
      </c>
      <c r="Z31" s="55"/>
      <c r="AA31" s="27" t="s">
        <v>16</v>
      </c>
      <c r="AB31" s="28">
        <v>41.744966442953022</v>
      </c>
    </row>
    <row r="32" spans="2:28" x14ac:dyDescent="0.3">
      <c r="B32" s="56"/>
      <c r="C32" s="27" t="s">
        <v>18</v>
      </c>
      <c r="D32" s="28">
        <v>47.544642857142854</v>
      </c>
      <c r="F32" s="56"/>
      <c r="G32" s="27" t="s">
        <v>18</v>
      </c>
      <c r="H32" s="28">
        <v>35.068912710566615</v>
      </c>
      <c r="J32" s="56"/>
      <c r="K32" s="27" t="s">
        <v>18</v>
      </c>
      <c r="L32" s="28">
        <v>40.56818181818182</v>
      </c>
      <c r="N32" s="56"/>
      <c r="O32" s="27" t="s">
        <v>18</v>
      </c>
      <c r="P32" s="28">
        <v>25.925925925925924</v>
      </c>
      <c r="R32" s="54" t="s">
        <v>41</v>
      </c>
      <c r="S32" s="27" t="s">
        <v>15</v>
      </c>
      <c r="T32" s="28">
        <v>33.368421052631582</v>
      </c>
      <c r="V32" s="56"/>
      <c r="W32" s="27" t="s">
        <v>18</v>
      </c>
      <c r="X32" s="28">
        <v>31.351351351351354</v>
      </c>
      <c r="Z32" s="54" t="s">
        <v>41</v>
      </c>
      <c r="AA32" s="27" t="s">
        <v>15</v>
      </c>
      <c r="AB32" s="28">
        <v>25.69832402234637</v>
      </c>
    </row>
    <row r="33" spans="2:28" x14ac:dyDescent="0.3">
      <c r="B33" s="56" t="s">
        <v>41</v>
      </c>
      <c r="C33" s="27" t="s">
        <v>15</v>
      </c>
      <c r="D33" s="28">
        <v>46.985446985446991</v>
      </c>
      <c r="F33" s="56" t="s">
        <v>41</v>
      </c>
      <c r="G33" s="27" t="s">
        <v>15</v>
      </c>
      <c r="H33" s="28">
        <v>42.291666666666664</v>
      </c>
      <c r="J33" s="56" t="s">
        <v>41</v>
      </c>
      <c r="K33" s="27" t="s">
        <v>15</v>
      </c>
      <c r="L33" s="28">
        <v>42.708333333333329</v>
      </c>
      <c r="N33" s="56" t="s">
        <v>41</v>
      </c>
      <c r="O33" s="27" t="s">
        <v>15</v>
      </c>
      <c r="P33" s="28">
        <v>24.840764331210192</v>
      </c>
      <c r="R33" s="55"/>
      <c r="S33" s="27" t="s">
        <v>16</v>
      </c>
      <c r="T33" s="28">
        <v>31.968145620022753</v>
      </c>
      <c r="V33" s="56" t="s">
        <v>41</v>
      </c>
      <c r="W33" s="27" t="s">
        <v>15</v>
      </c>
      <c r="X33" s="28">
        <v>39.351851851851855</v>
      </c>
      <c r="Z33" s="55"/>
      <c r="AA33" s="27" t="s">
        <v>16</v>
      </c>
      <c r="AB33" s="28">
        <v>36.50306748466258</v>
      </c>
    </row>
    <row r="34" spans="2:28" x14ac:dyDescent="0.3">
      <c r="B34" s="56"/>
      <c r="C34" s="27" t="s">
        <v>16</v>
      </c>
      <c r="D34" s="28">
        <v>47.046632124352335</v>
      </c>
      <c r="F34" s="56"/>
      <c r="G34" s="27" t="s">
        <v>16</v>
      </c>
      <c r="H34" s="28">
        <v>41.350210970464133</v>
      </c>
      <c r="J34" s="56"/>
      <c r="K34" s="27" t="s">
        <v>16</v>
      </c>
      <c r="L34" s="28">
        <v>41.390041493775932</v>
      </c>
      <c r="N34" s="56"/>
      <c r="O34" s="27" t="s">
        <v>16</v>
      </c>
      <c r="P34" s="28">
        <v>27.118644067796609</v>
      </c>
      <c r="R34" s="54" t="s">
        <v>42</v>
      </c>
      <c r="S34" s="27" t="s">
        <v>15</v>
      </c>
      <c r="T34" s="28">
        <v>37.769080234833659</v>
      </c>
      <c r="V34" s="56"/>
      <c r="W34" s="27" t="s">
        <v>16</v>
      </c>
      <c r="X34" s="28">
        <v>41.666666666666671</v>
      </c>
      <c r="Z34" s="54" t="s">
        <v>42</v>
      </c>
      <c r="AA34" s="27" t="s">
        <v>15</v>
      </c>
      <c r="AB34" s="28">
        <v>26.459143968871597</v>
      </c>
    </row>
    <row r="35" spans="2:28" x14ac:dyDescent="0.3">
      <c r="B35" s="56"/>
      <c r="C35" s="27" t="s">
        <v>18</v>
      </c>
      <c r="D35" s="28">
        <v>45.185185185185183</v>
      </c>
      <c r="F35" s="56"/>
      <c r="G35" s="27" t="s">
        <v>18</v>
      </c>
      <c r="H35" s="28">
        <v>36.37660485021398</v>
      </c>
      <c r="J35" s="56"/>
      <c r="K35" s="27" t="s">
        <v>18</v>
      </c>
      <c r="L35" s="28">
        <v>41.492864983534581</v>
      </c>
      <c r="N35" s="56"/>
      <c r="O35" s="27" t="s">
        <v>18</v>
      </c>
      <c r="P35" s="28">
        <v>30.487804878048781</v>
      </c>
      <c r="R35" s="55"/>
      <c r="S35" s="27" t="s">
        <v>16</v>
      </c>
      <c r="T35" s="28">
        <v>38.223140495867767</v>
      </c>
      <c r="V35" s="56"/>
      <c r="W35" s="27" t="s">
        <v>18</v>
      </c>
      <c r="X35" s="28">
        <v>34.915254237288131</v>
      </c>
      <c r="Z35" s="55"/>
      <c r="AA35" s="27" t="s">
        <v>16</v>
      </c>
      <c r="AB35" s="28">
        <v>56.157635467980292</v>
      </c>
    </row>
    <row r="36" spans="2:28" x14ac:dyDescent="0.3">
      <c r="B36" s="56" t="s">
        <v>42</v>
      </c>
      <c r="C36" s="27" t="s">
        <v>15</v>
      </c>
      <c r="D36" s="28">
        <v>62.230919765166334</v>
      </c>
      <c r="F36" s="56" t="s">
        <v>42</v>
      </c>
      <c r="G36" s="27" t="s">
        <v>15</v>
      </c>
      <c r="H36" s="28">
        <v>56.2992125984252</v>
      </c>
      <c r="J36" s="56" t="s">
        <v>42</v>
      </c>
      <c r="K36" s="27" t="s">
        <v>15</v>
      </c>
      <c r="L36" s="28">
        <v>56.876227897838902</v>
      </c>
      <c r="N36" s="56" t="s">
        <v>42</v>
      </c>
      <c r="O36" s="27" t="s">
        <v>15</v>
      </c>
      <c r="P36" s="28">
        <v>29.449838187702266</v>
      </c>
      <c r="R36" s="54" t="s">
        <v>43</v>
      </c>
      <c r="S36" s="27" t="s">
        <v>15</v>
      </c>
      <c r="T36" s="28">
        <v>30.48180924287119</v>
      </c>
      <c r="V36" s="56" t="s">
        <v>42</v>
      </c>
      <c r="W36" s="27" t="s">
        <v>15</v>
      </c>
      <c r="X36" s="28">
        <v>42.654028436018962</v>
      </c>
      <c r="Z36" s="54" t="s">
        <v>43</v>
      </c>
      <c r="AA36" s="27" t="s">
        <v>15</v>
      </c>
      <c r="AB36" s="28">
        <v>22.421524663677133</v>
      </c>
    </row>
    <row r="37" spans="2:28" x14ac:dyDescent="0.3">
      <c r="B37" s="56"/>
      <c r="C37" s="27" t="s">
        <v>16</v>
      </c>
      <c r="D37" s="28">
        <v>59.843290891283054</v>
      </c>
      <c r="F37" s="56"/>
      <c r="G37" s="27" t="s">
        <v>16</v>
      </c>
      <c r="H37" s="28">
        <v>58.800393313667655</v>
      </c>
      <c r="J37" s="56"/>
      <c r="K37" s="27" t="s">
        <v>16</v>
      </c>
      <c r="L37" s="28">
        <v>55.859375</v>
      </c>
      <c r="N37" s="56"/>
      <c r="O37" s="27" t="s">
        <v>16</v>
      </c>
      <c r="P37" s="28">
        <v>24.301075268817204</v>
      </c>
      <c r="R37" s="55"/>
      <c r="S37" s="27" t="s">
        <v>16</v>
      </c>
      <c r="T37" s="28">
        <v>32.700421940928273</v>
      </c>
      <c r="V37" s="56"/>
      <c r="W37" s="27" t="s">
        <v>16</v>
      </c>
      <c r="X37" s="28">
        <v>60.861056751467714</v>
      </c>
      <c r="Z37" s="55"/>
      <c r="AA37" s="27" t="s">
        <v>16</v>
      </c>
      <c r="AB37" s="28">
        <v>45.69471624266145</v>
      </c>
    </row>
    <row r="38" spans="2:28" x14ac:dyDescent="0.3">
      <c r="B38" s="56"/>
      <c r="C38" s="27" t="s">
        <v>18</v>
      </c>
      <c r="D38" s="28">
        <v>59.077526987242393</v>
      </c>
      <c r="F38" s="56"/>
      <c r="G38" s="27" t="s">
        <v>18</v>
      </c>
      <c r="H38" s="28">
        <v>45.139813581890813</v>
      </c>
      <c r="J38" s="56"/>
      <c r="K38" s="27" t="s">
        <v>18</v>
      </c>
      <c r="L38" s="28">
        <v>55.850540806293012</v>
      </c>
      <c r="N38" s="56"/>
      <c r="O38" s="27" t="s">
        <v>18</v>
      </c>
      <c r="P38" s="28">
        <v>22.666666666666664</v>
      </c>
      <c r="R38" s="54" t="s">
        <v>44</v>
      </c>
      <c r="S38" s="27" t="s">
        <v>15</v>
      </c>
      <c r="T38" s="28">
        <v>30.186823992133725</v>
      </c>
      <c r="V38" s="56"/>
      <c r="W38" s="27" t="s">
        <v>18</v>
      </c>
      <c r="X38" s="28">
        <v>29.787234042553191</v>
      </c>
      <c r="Z38" s="54" t="s">
        <v>44</v>
      </c>
      <c r="AA38" s="27" t="s">
        <v>15</v>
      </c>
      <c r="AB38" s="28">
        <v>30.392156862745097</v>
      </c>
    </row>
    <row r="39" spans="2:28" x14ac:dyDescent="0.3">
      <c r="B39" s="56" t="s">
        <v>43</v>
      </c>
      <c r="C39" s="27" t="s">
        <v>15</v>
      </c>
      <c r="D39" s="28">
        <v>50.341463414634148</v>
      </c>
      <c r="F39" s="56" t="s">
        <v>43</v>
      </c>
      <c r="G39" s="27" t="s">
        <v>15</v>
      </c>
      <c r="H39" s="28">
        <v>44.662095984329085</v>
      </c>
      <c r="J39" s="56" t="s">
        <v>43</v>
      </c>
      <c r="K39" s="27" t="s">
        <v>15</v>
      </c>
      <c r="L39" s="28">
        <v>45.329400196656835</v>
      </c>
      <c r="N39" s="56" t="s">
        <v>43</v>
      </c>
      <c r="O39" s="27" t="s">
        <v>15</v>
      </c>
      <c r="P39" s="28">
        <v>24.281150159744406</v>
      </c>
      <c r="R39" s="55"/>
      <c r="S39" s="27" t="s">
        <v>16</v>
      </c>
      <c r="T39" s="28">
        <v>31.472081218274113</v>
      </c>
      <c r="V39" s="56" t="s">
        <v>43</v>
      </c>
      <c r="W39" s="27" t="s">
        <v>15</v>
      </c>
      <c r="X39" s="28">
        <v>37.172774869109951</v>
      </c>
      <c r="Z39" s="55"/>
      <c r="AA39" s="27" t="s">
        <v>16</v>
      </c>
      <c r="AB39" s="28">
        <v>41.658536585365852</v>
      </c>
    </row>
    <row r="40" spans="2:28" x14ac:dyDescent="0.3">
      <c r="B40" s="56"/>
      <c r="C40" s="27" t="s">
        <v>16</v>
      </c>
      <c r="D40" s="28">
        <v>51.804878048780488</v>
      </c>
      <c r="F40" s="56"/>
      <c r="G40" s="27" t="s">
        <v>16</v>
      </c>
      <c r="H40" s="28">
        <v>44.773175542406314</v>
      </c>
      <c r="J40" s="56"/>
      <c r="K40" s="27" t="s">
        <v>16</v>
      </c>
      <c r="L40" s="28">
        <v>46.048780487804883</v>
      </c>
      <c r="N40" s="56"/>
      <c r="O40" s="27" t="s">
        <v>16</v>
      </c>
      <c r="P40" s="28">
        <v>24.040404040404042</v>
      </c>
      <c r="R40" s="54" t="s">
        <v>45</v>
      </c>
      <c r="S40" s="27" t="s">
        <v>15</v>
      </c>
      <c r="T40" s="28">
        <v>26.1139896373057</v>
      </c>
      <c r="V40" s="56"/>
      <c r="W40" s="27" t="s">
        <v>16</v>
      </c>
      <c r="X40" s="28">
        <v>46.012269938650306</v>
      </c>
      <c r="Z40" s="54" t="s">
        <v>45</v>
      </c>
      <c r="AA40" s="27" t="s">
        <v>15</v>
      </c>
      <c r="AB40" s="28">
        <v>24.870466321243523</v>
      </c>
    </row>
    <row r="41" spans="2:28" x14ac:dyDescent="0.3">
      <c r="B41" s="56"/>
      <c r="C41" s="27" t="s">
        <v>18</v>
      </c>
      <c r="D41" s="28">
        <v>50</v>
      </c>
      <c r="F41" s="56"/>
      <c r="G41" s="27" t="s">
        <v>18</v>
      </c>
      <c r="H41" s="28">
        <v>37.79220779220779</v>
      </c>
      <c r="J41" s="56"/>
      <c r="K41" s="27" t="s">
        <v>18</v>
      </c>
      <c r="L41" s="28">
        <v>45.436507936507937</v>
      </c>
      <c r="N41" s="56"/>
      <c r="O41" s="27" t="s">
        <v>18</v>
      </c>
      <c r="P41" s="28">
        <v>29.565217391304348</v>
      </c>
      <c r="R41" s="55"/>
      <c r="S41" s="27" t="s">
        <v>16</v>
      </c>
      <c r="T41" s="28">
        <v>26.674500587544063</v>
      </c>
      <c r="V41" s="56"/>
      <c r="W41" s="27" t="s">
        <v>18</v>
      </c>
      <c r="X41" s="28">
        <v>31.496062992125985</v>
      </c>
      <c r="Z41" s="55"/>
      <c r="AA41" s="27" t="s">
        <v>16</v>
      </c>
      <c r="AB41" s="28">
        <v>31.25925925925926</v>
      </c>
    </row>
    <row r="42" spans="2:28" x14ac:dyDescent="0.3">
      <c r="B42" s="56" t="s">
        <v>44</v>
      </c>
      <c r="C42" s="27" t="s">
        <v>15</v>
      </c>
      <c r="D42" s="28">
        <v>47.804878048780488</v>
      </c>
      <c r="F42" s="56" t="s">
        <v>44</v>
      </c>
      <c r="G42" s="27" t="s">
        <v>15</v>
      </c>
      <c r="H42" s="28">
        <v>44.574780058651022</v>
      </c>
      <c r="J42" s="56" t="s">
        <v>44</v>
      </c>
      <c r="K42" s="27" t="s">
        <v>15</v>
      </c>
      <c r="L42" s="28">
        <v>41.756097560975611</v>
      </c>
      <c r="N42" s="56" t="s">
        <v>44</v>
      </c>
      <c r="O42" s="27" t="s">
        <v>15</v>
      </c>
      <c r="P42" s="28">
        <v>27.374301675977652</v>
      </c>
      <c r="R42" s="54" t="s">
        <v>46</v>
      </c>
      <c r="S42" s="27" t="s">
        <v>15</v>
      </c>
      <c r="T42" s="28">
        <v>31.457286432160803</v>
      </c>
      <c r="V42" s="56" t="s">
        <v>44</v>
      </c>
      <c r="W42" s="27" t="s">
        <v>15</v>
      </c>
      <c r="X42" s="28">
        <v>31.477927063339735</v>
      </c>
      <c r="Z42" s="54" t="s">
        <v>46</v>
      </c>
      <c r="AA42" s="27" t="s">
        <v>15</v>
      </c>
      <c r="AB42" s="28">
        <v>24.623115577889447</v>
      </c>
    </row>
    <row r="43" spans="2:28" x14ac:dyDescent="0.3">
      <c r="B43" s="56"/>
      <c r="C43" s="27" t="s">
        <v>16</v>
      </c>
      <c r="D43" s="28">
        <v>48.097560975609753</v>
      </c>
      <c r="F43" s="56"/>
      <c r="G43" s="27" t="s">
        <v>16</v>
      </c>
      <c r="H43" s="28">
        <v>45.759368836291912</v>
      </c>
      <c r="J43" s="56"/>
      <c r="K43" s="27" t="s">
        <v>16</v>
      </c>
      <c r="L43" s="28">
        <v>41.365853658536587</v>
      </c>
      <c r="N43" s="56"/>
      <c r="O43" s="27" t="s">
        <v>16</v>
      </c>
      <c r="P43" s="28">
        <v>29.076620825147348</v>
      </c>
      <c r="R43" s="55"/>
      <c r="S43" s="27" t="s">
        <v>16</v>
      </c>
      <c r="T43" s="28">
        <v>28.691983122362867</v>
      </c>
      <c r="V43" s="56"/>
      <c r="W43" s="27" t="s">
        <v>16</v>
      </c>
      <c r="X43" s="28">
        <v>43.45703125</v>
      </c>
      <c r="Z43" s="55"/>
      <c r="AA43" s="27" t="s">
        <v>16</v>
      </c>
      <c r="AB43" s="28">
        <v>41.543026706231458</v>
      </c>
    </row>
    <row r="44" spans="2:28" x14ac:dyDescent="0.3">
      <c r="B44" s="56"/>
      <c r="C44" s="27" t="s">
        <v>18</v>
      </c>
      <c r="D44" s="28">
        <v>43.774703557312257</v>
      </c>
      <c r="F44" s="56"/>
      <c r="G44" s="27" t="s">
        <v>18</v>
      </c>
      <c r="H44" s="28">
        <v>33.139534883720927</v>
      </c>
      <c r="J44" s="56"/>
      <c r="K44" s="27" t="s">
        <v>18</v>
      </c>
      <c r="L44" s="28">
        <v>41.32231404958678</v>
      </c>
      <c r="N44" s="56"/>
      <c r="O44" s="27" t="s">
        <v>18</v>
      </c>
      <c r="P44" s="28">
        <v>25.78125</v>
      </c>
      <c r="V44" s="56"/>
      <c r="W44" s="27" t="s">
        <v>18</v>
      </c>
      <c r="X44" s="28">
        <v>25.11415525114155</v>
      </c>
    </row>
    <row r="45" spans="2:28" x14ac:dyDescent="0.3">
      <c r="B45" s="56" t="s">
        <v>45</v>
      </c>
      <c r="C45" s="27" t="s">
        <v>15</v>
      </c>
      <c r="D45" s="28">
        <v>35.623159960745831</v>
      </c>
      <c r="F45" s="56" t="s">
        <v>45</v>
      </c>
      <c r="G45" s="27" t="s">
        <v>15</v>
      </c>
      <c r="H45" s="28">
        <v>33.233830845771145</v>
      </c>
      <c r="J45" s="56" t="s">
        <v>45</v>
      </c>
      <c r="K45" s="27" t="s">
        <v>15</v>
      </c>
      <c r="L45" s="28">
        <v>35.170340681362724</v>
      </c>
      <c r="N45" s="56" t="s">
        <v>45</v>
      </c>
      <c r="O45" s="27" t="s">
        <v>15</v>
      </c>
      <c r="P45" s="28">
        <v>25.622775800711743</v>
      </c>
      <c r="V45" s="56" t="s">
        <v>45</v>
      </c>
      <c r="W45" s="27" t="s">
        <v>15</v>
      </c>
      <c r="X45" s="28">
        <v>25.737265415549597</v>
      </c>
    </row>
    <row r="46" spans="2:28" x14ac:dyDescent="0.3">
      <c r="B46" s="56"/>
      <c r="C46" s="27" t="s">
        <v>16</v>
      </c>
      <c r="D46" s="28">
        <v>34.867776689520078</v>
      </c>
      <c r="F46" s="56"/>
      <c r="G46" s="27" t="s">
        <v>16</v>
      </c>
      <c r="H46" s="28">
        <v>32.376237623762378</v>
      </c>
      <c r="J46" s="56"/>
      <c r="K46" s="27" t="s">
        <v>16</v>
      </c>
      <c r="L46" s="28">
        <v>35.777126099706749</v>
      </c>
      <c r="N46" s="56"/>
      <c r="O46" s="27" t="s">
        <v>16</v>
      </c>
      <c r="P46" s="28">
        <v>22.547584187408493</v>
      </c>
      <c r="V46" s="56"/>
      <c r="W46" s="27" t="s">
        <v>16</v>
      </c>
      <c r="X46" s="28">
        <v>30.867346938775508</v>
      </c>
    </row>
    <row r="47" spans="2:28" x14ac:dyDescent="0.3">
      <c r="B47" s="56"/>
      <c r="C47" s="27" t="s">
        <v>18</v>
      </c>
      <c r="D47" s="28">
        <v>32.77723258096173</v>
      </c>
      <c r="F47" s="56"/>
      <c r="G47" s="27" t="s">
        <v>18</v>
      </c>
      <c r="H47" s="28">
        <v>30.031612223393044</v>
      </c>
      <c r="J47" s="56"/>
      <c r="K47" s="27" t="s">
        <v>18</v>
      </c>
      <c r="L47" s="28">
        <v>33.333333333333329</v>
      </c>
      <c r="N47" s="56"/>
      <c r="O47" s="27" t="s">
        <v>18</v>
      </c>
      <c r="P47" s="28">
        <v>23.877917414721722</v>
      </c>
      <c r="V47" s="56"/>
      <c r="W47" s="27" t="s">
        <v>18</v>
      </c>
      <c r="X47" s="28">
        <v>26.119402985074625</v>
      </c>
    </row>
    <row r="48" spans="2:28" x14ac:dyDescent="0.3">
      <c r="B48" s="56" t="s">
        <v>46</v>
      </c>
      <c r="C48" s="27" t="s">
        <v>15</v>
      </c>
      <c r="D48" s="28">
        <v>46.130952380952387</v>
      </c>
      <c r="F48" s="56" t="s">
        <v>46</v>
      </c>
      <c r="G48" s="27" t="s">
        <v>15</v>
      </c>
      <c r="H48" s="28">
        <v>42.44532803180914</v>
      </c>
      <c r="J48" s="56" t="s">
        <v>46</v>
      </c>
      <c r="K48" s="27" t="s">
        <v>15</v>
      </c>
      <c r="L48" s="28">
        <v>43.4</v>
      </c>
      <c r="N48" s="56" t="s">
        <v>46</v>
      </c>
      <c r="O48" s="27" t="s">
        <v>15</v>
      </c>
      <c r="P48" s="28">
        <v>24.434389140271492</v>
      </c>
      <c r="V48" s="56" t="s">
        <v>46</v>
      </c>
      <c r="W48" s="27" t="s">
        <v>15</v>
      </c>
      <c r="X48" s="28">
        <v>38.186157517899758</v>
      </c>
    </row>
    <row r="49" spans="2:24" x14ac:dyDescent="0.3">
      <c r="B49" s="56"/>
      <c r="C49" s="27" t="s">
        <v>16</v>
      </c>
      <c r="D49" s="28">
        <v>44.642857142857146</v>
      </c>
      <c r="F49" s="56"/>
      <c r="G49" s="27" t="s">
        <v>16</v>
      </c>
      <c r="H49" s="28">
        <v>41.558441558441558</v>
      </c>
      <c r="J49" s="56"/>
      <c r="K49" s="27" t="s">
        <v>16</v>
      </c>
      <c r="L49" s="28">
        <v>43.861386138613859</v>
      </c>
      <c r="N49" s="56"/>
      <c r="O49" s="27" t="s">
        <v>16</v>
      </c>
      <c r="P49" s="28">
        <v>23.843416370106763</v>
      </c>
      <c r="V49" s="56"/>
      <c r="W49" s="27" t="s">
        <v>16</v>
      </c>
      <c r="X49" s="28">
        <v>44.920318725099598</v>
      </c>
    </row>
    <row r="50" spans="2:24" x14ac:dyDescent="0.3">
      <c r="B50" s="56"/>
      <c r="C50" s="27" t="s">
        <v>18</v>
      </c>
      <c r="D50" s="28">
        <v>41.816367265469061</v>
      </c>
      <c r="F50" s="56"/>
      <c r="G50" s="27" t="s">
        <v>18</v>
      </c>
      <c r="H50" s="28">
        <v>33.973589435774308</v>
      </c>
      <c r="J50" s="56"/>
      <c r="K50" s="27" t="s">
        <v>18</v>
      </c>
      <c r="L50" s="28">
        <v>43.743641912512714</v>
      </c>
      <c r="N50" s="56"/>
      <c r="O50" s="27" t="s">
        <v>18</v>
      </c>
      <c r="P50" s="28">
        <v>24.731182795698924</v>
      </c>
      <c r="V50" s="56"/>
      <c r="W50" s="27" t="s">
        <v>18</v>
      </c>
      <c r="X50" s="28">
        <v>22.127659574468083</v>
      </c>
    </row>
  </sheetData>
  <mergeCells count="49">
    <mergeCell ref="B48:B50"/>
    <mergeCell ref="B30:B32"/>
    <mergeCell ref="B33:B35"/>
    <mergeCell ref="B36:B38"/>
    <mergeCell ref="B39:B41"/>
    <mergeCell ref="B42:B44"/>
    <mergeCell ref="B45:B47"/>
    <mergeCell ref="F45:F47"/>
    <mergeCell ref="F48:F50"/>
    <mergeCell ref="J30:J32"/>
    <mergeCell ref="J33:J35"/>
    <mergeCell ref="J36:J38"/>
    <mergeCell ref="J39:J41"/>
    <mergeCell ref="F30:F32"/>
    <mergeCell ref="F33:F35"/>
    <mergeCell ref="F36:F38"/>
    <mergeCell ref="F39:F41"/>
    <mergeCell ref="F42:F44"/>
    <mergeCell ref="J42:J44"/>
    <mergeCell ref="J45:J47"/>
    <mergeCell ref="J48:J50"/>
    <mergeCell ref="N30:N32"/>
    <mergeCell ref="N33:N35"/>
    <mergeCell ref="N36:N38"/>
    <mergeCell ref="N39:N41"/>
    <mergeCell ref="N42:N44"/>
    <mergeCell ref="N45:N47"/>
    <mergeCell ref="N48:N50"/>
    <mergeCell ref="V36:V38"/>
    <mergeCell ref="V39:V41"/>
    <mergeCell ref="V42:V44"/>
    <mergeCell ref="V45:V47"/>
    <mergeCell ref="V48:V50"/>
    <mergeCell ref="Z42:Z43"/>
    <mergeCell ref="R30:R31"/>
    <mergeCell ref="R32:R33"/>
    <mergeCell ref="R34:R35"/>
    <mergeCell ref="R36:R37"/>
    <mergeCell ref="R38:R39"/>
    <mergeCell ref="R40:R41"/>
    <mergeCell ref="R42:R43"/>
    <mergeCell ref="Z30:Z31"/>
    <mergeCell ref="Z32:Z33"/>
    <mergeCell ref="Z34:Z35"/>
    <mergeCell ref="Z36:Z37"/>
    <mergeCell ref="Z38:Z39"/>
    <mergeCell ref="Z40:Z41"/>
    <mergeCell ref="V30:V32"/>
    <mergeCell ref="V33:V3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3A53-6D46-484A-866A-B9870A79B8A2}">
  <sheetPr>
    <tabColor theme="8" tint="0.59999389629810485"/>
  </sheetPr>
  <dimension ref="B2:P31"/>
  <sheetViews>
    <sheetView zoomScale="76" workbookViewId="0">
      <selection activeCell="G27" sqref="G27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7" t="s">
        <v>34</v>
      </c>
      <c r="C2" s="38"/>
      <c r="D2" s="38"/>
      <c r="E2" s="38"/>
      <c r="F2" s="38"/>
      <c r="G2" s="38"/>
      <c r="H2" s="38"/>
      <c r="I2" s="38"/>
      <c r="K2" s="42" t="s">
        <v>1</v>
      </c>
      <c r="L2" s="42"/>
      <c r="M2" s="42"/>
      <c r="N2" s="42"/>
      <c r="O2" s="42"/>
      <c r="P2" s="42"/>
    </row>
    <row r="3" spans="2:16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43" t="s">
        <v>14</v>
      </c>
      <c r="C4" s="3" t="s">
        <v>15</v>
      </c>
      <c r="D4" s="3">
        <v>900</v>
      </c>
      <c r="E4" s="3">
        <v>445</v>
      </c>
      <c r="F4" s="3">
        <v>455</v>
      </c>
      <c r="G4" s="3">
        <v>0</v>
      </c>
      <c r="H4" s="18">
        <f>(E4/D4)*100</f>
        <v>49.444444444444443</v>
      </c>
      <c r="I4" s="22">
        <f t="shared" ref="I4:I17" si="0">(G4/$D$29)*100</f>
        <v>0</v>
      </c>
      <c r="J4" s="4"/>
      <c r="K4" s="14" t="s">
        <v>14</v>
      </c>
      <c r="L4" s="7">
        <f>H5-H6</f>
        <v>0.67757936507936734</v>
      </c>
      <c r="M4" s="8"/>
      <c r="N4" s="7">
        <f>H4-H5</f>
        <v>1.2222222222222214</v>
      </c>
      <c r="O4" s="8"/>
      <c r="P4" s="7">
        <f>H4-H6</f>
        <v>1.8998015873015888</v>
      </c>
    </row>
    <row r="5" spans="2:16" x14ac:dyDescent="0.3">
      <c r="B5" s="43"/>
      <c r="C5" s="3" t="s">
        <v>16</v>
      </c>
      <c r="D5" s="3">
        <v>900</v>
      </c>
      <c r="E5" s="3">
        <v>434</v>
      </c>
      <c r="F5" s="3">
        <v>466</v>
      </c>
      <c r="G5" s="3">
        <v>0</v>
      </c>
      <c r="H5" s="18">
        <f t="shared" ref="H5:H23" si="1">(E5/D5)*100</f>
        <v>48.222222222222221</v>
      </c>
      <c r="I5" s="22">
        <f t="shared" si="0"/>
        <v>0</v>
      </c>
      <c r="J5" s="4"/>
      <c r="K5" s="14" t="s">
        <v>17</v>
      </c>
      <c r="L5" s="7">
        <f>H8-H9</f>
        <v>8.4921175245957556</v>
      </c>
      <c r="M5" s="8"/>
      <c r="N5" s="7">
        <f>H7-H8</f>
        <v>0.11198208286674571</v>
      </c>
      <c r="O5" s="8"/>
      <c r="P5" s="7">
        <f>H7-H9</f>
        <v>8.6040996074625014</v>
      </c>
    </row>
    <row r="6" spans="2:16" x14ac:dyDescent="0.3">
      <c r="B6" s="43"/>
      <c r="C6" s="3" t="s">
        <v>18</v>
      </c>
      <c r="D6" s="3">
        <v>896</v>
      </c>
      <c r="E6" s="3">
        <v>426</v>
      </c>
      <c r="F6" s="3">
        <v>470</v>
      </c>
      <c r="G6" s="3">
        <v>4</v>
      </c>
      <c r="H6" s="18">
        <f t="shared" si="1"/>
        <v>47.544642857142854</v>
      </c>
      <c r="I6" s="22">
        <f t="shared" si="0"/>
        <v>0.44444444444444442</v>
      </c>
      <c r="J6" s="4"/>
      <c r="K6" s="14" t="s">
        <v>19</v>
      </c>
      <c r="L6" s="7">
        <f>H11-H12</f>
        <v>-0.79040404040404155</v>
      </c>
      <c r="M6" s="8"/>
      <c r="N6" s="7">
        <f>H10-H11</f>
        <v>1</v>
      </c>
      <c r="O6" s="8"/>
      <c r="P6" s="7">
        <f>H10-H12</f>
        <v>0.20959595959595845</v>
      </c>
    </row>
    <row r="7" spans="2:16" x14ac:dyDescent="0.3">
      <c r="B7" s="43" t="s">
        <v>17</v>
      </c>
      <c r="C7" s="1" t="s">
        <v>15</v>
      </c>
      <c r="D7" s="1">
        <v>893</v>
      </c>
      <c r="E7" s="1">
        <v>390</v>
      </c>
      <c r="F7" s="1">
        <v>503</v>
      </c>
      <c r="G7" s="1">
        <v>7</v>
      </c>
      <c r="H7" s="19">
        <f t="shared" si="1"/>
        <v>43.673012318029116</v>
      </c>
      <c r="I7" s="23">
        <f t="shared" si="0"/>
        <v>0.77777777777777779</v>
      </c>
      <c r="J7" s="4"/>
      <c r="K7" s="14" t="s">
        <v>20</v>
      </c>
      <c r="L7" s="7">
        <f>H14-H15</f>
        <v>0.58414118816803651</v>
      </c>
      <c r="M7" s="8"/>
      <c r="N7" s="7">
        <f>H13-H14</f>
        <v>-4.9138229826385604</v>
      </c>
      <c r="O7" s="8"/>
      <c r="P7" s="7">
        <f>H13-H15</f>
        <v>-4.3296817944705239</v>
      </c>
    </row>
    <row r="8" spans="2:16" x14ac:dyDescent="0.3">
      <c r="B8" s="43"/>
      <c r="C8" s="1" t="s">
        <v>16</v>
      </c>
      <c r="D8" s="1">
        <v>893</v>
      </c>
      <c r="E8" s="1">
        <v>389</v>
      </c>
      <c r="F8" s="1">
        <v>504</v>
      </c>
      <c r="G8" s="1">
        <v>7</v>
      </c>
      <c r="H8" s="19">
        <f t="shared" si="1"/>
        <v>43.56103023516237</v>
      </c>
      <c r="I8" s="23">
        <f t="shared" si="0"/>
        <v>0.77777777777777779</v>
      </c>
      <c r="J8" s="4"/>
      <c r="K8" s="14" t="s">
        <v>21</v>
      </c>
      <c r="L8" s="9"/>
      <c r="M8" s="7">
        <f>H17-H14</f>
        <v>2.8500332623175808</v>
      </c>
      <c r="N8" s="7">
        <f>H16-H17</f>
        <v>0.84124190546765476</v>
      </c>
      <c r="O8" s="7">
        <f>H16-H13</f>
        <v>8.605098150423796</v>
      </c>
      <c r="P8" s="7">
        <f>H16-H15</f>
        <v>4.2754163559532721</v>
      </c>
    </row>
    <row r="9" spans="2:16" x14ac:dyDescent="0.3">
      <c r="B9" s="43"/>
      <c r="C9" s="1" t="s">
        <v>18</v>
      </c>
      <c r="D9" s="1">
        <v>653</v>
      </c>
      <c r="E9" s="1">
        <v>229</v>
      </c>
      <c r="F9" s="1">
        <v>424</v>
      </c>
      <c r="G9" s="1">
        <v>247</v>
      </c>
      <c r="H9" s="19">
        <f t="shared" si="1"/>
        <v>35.068912710566615</v>
      </c>
      <c r="I9" s="23">
        <f t="shared" si="0"/>
        <v>27.444444444444443</v>
      </c>
      <c r="J9" s="4"/>
      <c r="K9" s="14" t="s">
        <v>22</v>
      </c>
      <c r="L9" s="7">
        <f>H20-H21</f>
        <v>2.3986486486486456</v>
      </c>
      <c r="M9" s="8"/>
      <c r="N9" s="7">
        <f>H19-H20</f>
        <v>10</v>
      </c>
      <c r="O9" s="8"/>
      <c r="P9" s="7">
        <f>H19-H21</f>
        <v>12.398648648648646</v>
      </c>
    </row>
    <row r="10" spans="2:16" x14ac:dyDescent="0.3">
      <c r="B10" s="43" t="s">
        <v>19</v>
      </c>
      <c r="C10" s="3" t="s">
        <v>15</v>
      </c>
      <c r="D10" s="3">
        <v>900</v>
      </c>
      <c r="E10" s="3">
        <v>367</v>
      </c>
      <c r="F10" s="3">
        <v>533</v>
      </c>
      <c r="G10" s="3">
        <v>0</v>
      </c>
      <c r="H10" s="18">
        <f t="shared" si="1"/>
        <v>40.777777777777779</v>
      </c>
      <c r="I10" s="22">
        <f t="shared" si="0"/>
        <v>0</v>
      </c>
      <c r="J10" s="4"/>
      <c r="K10" s="14" t="s">
        <v>23</v>
      </c>
      <c r="L10" s="9"/>
      <c r="M10" s="7">
        <f>H23-H20</f>
        <v>7.9949664429530216</v>
      </c>
      <c r="N10" s="7">
        <f>H22-H23</f>
        <v>-20.97993912054865</v>
      </c>
      <c r="O10" s="7">
        <f>H22-H20</f>
        <v>-12.984972677595628</v>
      </c>
      <c r="P10" s="7">
        <f>H22-H21</f>
        <v>-10.586324028946983</v>
      </c>
    </row>
    <row r="11" spans="2:16" x14ac:dyDescent="0.3">
      <c r="B11" s="43"/>
      <c r="C11" s="3" t="s">
        <v>16</v>
      </c>
      <c r="D11" s="3">
        <v>900</v>
      </c>
      <c r="E11" s="3">
        <v>358</v>
      </c>
      <c r="F11" s="3">
        <v>542</v>
      </c>
      <c r="G11" s="3">
        <v>0</v>
      </c>
      <c r="H11" s="18">
        <f t="shared" si="1"/>
        <v>39.777777777777779</v>
      </c>
      <c r="I11" s="22">
        <f t="shared" si="0"/>
        <v>0</v>
      </c>
      <c r="J11" s="4"/>
    </row>
    <row r="12" spans="2:16" x14ac:dyDescent="0.3">
      <c r="B12" s="43"/>
      <c r="C12" s="3" t="s">
        <v>18</v>
      </c>
      <c r="D12" s="3">
        <v>880</v>
      </c>
      <c r="E12" s="3">
        <v>357</v>
      </c>
      <c r="F12" s="3">
        <v>523</v>
      </c>
      <c r="G12" s="3">
        <v>20</v>
      </c>
      <c r="H12" s="18">
        <f t="shared" si="1"/>
        <v>40.56818181818182</v>
      </c>
      <c r="I12" s="22">
        <f t="shared" si="0"/>
        <v>2.2222222222222223</v>
      </c>
      <c r="J12" s="4"/>
    </row>
    <row r="13" spans="2:16" x14ac:dyDescent="0.3">
      <c r="B13" s="43" t="s">
        <v>20</v>
      </c>
      <c r="C13" s="1" t="s">
        <v>15</v>
      </c>
      <c r="D13" s="1">
        <v>213</v>
      </c>
      <c r="E13" s="1">
        <v>46</v>
      </c>
      <c r="F13" s="1">
        <v>167</v>
      </c>
      <c r="G13" s="1">
        <v>687</v>
      </c>
      <c r="H13" s="19">
        <f t="shared" si="1"/>
        <v>21.5962441314554</v>
      </c>
      <c r="I13" s="23">
        <f t="shared" si="0"/>
        <v>76.333333333333329</v>
      </c>
      <c r="J13" s="4"/>
    </row>
    <row r="14" spans="2:16" x14ac:dyDescent="0.3">
      <c r="B14" s="43"/>
      <c r="C14" s="1" t="s">
        <v>16</v>
      </c>
      <c r="D14" s="1">
        <v>298</v>
      </c>
      <c r="E14" s="1">
        <v>79</v>
      </c>
      <c r="F14" s="1">
        <v>219</v>
      </c>
      <c r="G14" s="1">
        <v>602</v>
      </c>
      <c r="H14" s="19">
        <f t="shared" si="1"/>
        <v>26.51006711409396</v>
      </c>
      <c r="I14" s="23">
        <f t="shared" si="0"/>
        <v>66.888888888888886</v>
      </c>
      <c r="J14" s="4"/>
    </row>
    <row r="15" spans="2:16" x14ac:dyDescent="0.3">
      <c r="B15" s="43"/>
      <c r="C15" s="1" t="s">
        <v>18</v>
      </c>
      <c r="D15" s="1">
        <v>27</v>
      </c>
      <c r="E15" s="1">
        <v>7</v>
      </c>
      <c r="F15" s="1">
        <v>20</v>
      </c>
      <c r="G15" s="1">
        <v>873</v>
      </c>
      <c r="H15" s="19">
        <f t="shared" si="1"/>
        <v>25.925925925925924</v>
      </c>
      <c r="I15" s="23">
        <f t="shared" si="0"/>
        <v>97</v>
      </c>
      <c r="J15" s="4"/>
      <c r="K15" s="44" t="s">
        <v>24</v>
      </c>
      <c r="L15" s="45"/>
      <c r="M15" s="45"/>
      <c r="N15" s="45"/>
      <c r="O15" s="45"/>
      <c r="P15" s="46"/>
    </row>
    <row r="16" spans="2:16" x14ac:dyDescent="0.3">
      <c r="B16" s="47" t="s">
        <v>21</v>
      </c>
      <c r="C16" s="3" t="s">
        <v>15</v>
      </c>
      <c r="D16" s="3">
        <v>894</v>
      </c>
      <c r="E16" s="3">
        <v>270</v>
      </c>
      <c r="F16" s="3">
        <v>624</v>
      </c>
      <c r="G16" s="3">
        <v>6</v>
      </c>
      <c r="H16" s="18">
        <f t="shared" si="1"/>
        <v>30.201342281879196</v>
      </c>
      <c r="I16" s="22">
        <f t="shared" si="0"/>
        <v>0.66666666666666674</v>
      </c>
      <c r="J16" s="4"/>
      <c r="K16" s="52" t="s">
        <v>25</v>
      </c>
      <c r="L16" s="53"/>
      <c r="M16" s="52" t="s">
        <v>16</v>
      </c>
      <c r="N16" s="53"/>
      <c r="O16" s="52" t="s">
        <v>15</v>
      </c>
      <c r="P16" s="53"/>
    </row>
    <row r="17" spans="2:16" x14ac:dyDescent="0.3">
      <c r="B17" s="48"/>
      <c r="C17" s="3" t="s">
        <v>16</v>
      </c>
      <c r="D17" s="3">
        <v>797</v>
      </c>
      <c r="E17" s="3">
        <v>234</v>
      </c>
      <c r="F17" s="3">
        <v>563</v>
      </c>
      <c r="G17" s="3">
        <v>103</v>
      </c>
      <c r="H17" s="18">
        <f t="shared" si="1"/>
        <v>29.360100376411541</v>
      </c>
      <c r="I17" s="22">
        <f t="shared" si="0"/>
        <v>11.444444444444445</v>
      </c>
      <c r="J17" s="4"/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9"/>
      <c r="C18" s="24" t="s">
        <v>18</v>
      </c>
      <c r="D18" s="24"/>
      <c r="E18" s="24"/>
      <c r="F18" s="24"/>
      <c r="G18" s="24"/>
      <c r="H18" s="25"/>
      <c r="I18" s="26"/>
      <c r="J18" s="4"/>
      <c r="K18" s="1" t="s">
        <v>14</v>
      </c>
      <c r="L18" s="11">
        <v>47.544642857142854</v>
      </c>
      <c r="M18" s="1" t="s">
        <v>14</v>
      </c>
      <c r="N18" s="11">
        <v>48.222222222222221</v>
      </c>
      <c r="O18" s="1" t="s">
        <v>14</v>
      </c>
      <c r="P18" s="11">
        <v>49.444444444444443</v>
      </c>
    </row>
    <row r="19" spans="2:16" x14ac:dyDescent="0.3">
      <c r="B19" s="43" t="s">
        <v>22</v>
      </c>
      <c r="C19" s="1" t="s">
        <v>15</v>
      </c>
      <c r="D19" s="1">
        <v>576</v>
      </c>
      <c r="E19" s="1">
        <v>252</v>
      </c>
      <c r="F19" s="1">
        <v>324</v>
      </c>
      <c r="G19" s="1">
        <v>324</v>
      </c>
      <c r="H19" s="19">
        <f t="shared" si="1"/>
        <v>43.75</v>
      </c>
      <c r="I19" s="23">
        <f>(G19/$D$29)*100</f>
        <v>36</v>
      </c>
      <c r="J19" s="4"/>
      <c r="K19" s="1" t="s">
        <v>19</v>
      </c>
      <c r="L19" s="11">
        <v>40.56818181818182</v>
      </c>
      <c r="M19" s="1" t="s">
        <v>17</v>
      </c>
      <c r="N19" s="11">
        <v>43.56103023516237</v>
      </c>
      <c r="O19" s="1" t="s">
        <v>22</v>
      </c>
      <c r="P19" s="11">
        <v>43.75</v>
      </c>
    </row>
    <row r="20" spans="2:16" x14ac:dyDescent="0.3">
      <c r="B20" s="43"/>
      <c r="C20" s="1" t="s">
        <v>16</v>
      </c>
      <c r="D20" s="1">
        <v>320</v>
      </c>
      <c r="E20" s="1">
        <v>108</v>
      </c>
      <c r="F20" s="1">
        <v>212</v>
      </c>
      <c r="G20" s="1">
        <v>580</v>
      </c>
      <c r="H20" s="19">
        <f t="shared" si="1"/>
        <v>33.75</v>
      </c>
      <c r="I20" s="23">
        <f>(G20/$D$29)*100</f>
        <v>64.444444444444443</v>
      </c>
      <c r="J20" s="4"/>
      <c r="K20" s="1" t="s">
        <v>17</v>
      </c>
      <c r="L20" s="11">
        <v>35.068912710566615</v>
      </c>
      <c r="M20" s="1" t="s">
        <v>23</v>
      </c>
      <c r="N20" s="11">
        <v>41.744966442953022</v>
      </c>
      <c r="O20" s="1" t="s">
        <v>17</v>
      </c>
      <c r="P20" s="11">
        <v>43.673012318029116</v>
      </c>
    </row>
    <row r="21" spans="2:16" x14ac:dyDescent="0.3">
      <c r="B21" s="43"/>
      <c r="C21" s="1" t="s">
        <v>18</v>
      </c>
      <c r="D21" s="1">
        <v>185</v>
      </c>
      <c r="E21" s="1">
        <v>58</v>
      </c>
      <c r="F21" s="1">
        <v>127</v>
      </c>
      <c r="G21" s="1">
        <v>715</v>
      </c>
      <c r="H21" s="19">
        <f t="shared" si="1"/>
        <v>31.351351351351354</v>
      </c>
      <c r="I21" s="23">
        <f>(G21/$D$29)*100</f>
        <v>79.444444444444443</v>
      </c>
      <c r="J21" s="4"/>
      <c r="K21" s="1" t="s">
        <v>22</v>
      </c>
      <c r="L21" s="11">
        <v>31.351351351351354</v>
      </c>
      <c r="M21" s="1" t="s">
        <v>19</v>
      </c>
      <c r="N21" s="11">
        <v>39.777777777777779</v>
      </c>
      <c r="O21" s="1" t="s">
        <v>19</v>
      </c>
      <c r="P21" s="11">
        <v>40.777777777777779</v>
      </c>
    </row>
    <row r="22" spans="2:16" x14ac:dyDescent="0.3">
      <c r="B22" s="50" t="s">
        <v>23</v>
      </c>
      <c r="C22" s="3" t="s">
        <v>15</v>
      </c>
      <c r="D22" s="3">
        <v>183</v>
      </c>
      <c r="E22" s="3">
        <v>38</v>
      </c>
      <c r="F22" s="3">
        <v>145</v>
      </c>
      <c r="G22" s="3">
        <v>717</v>
      </c>
      <c r="H22" s="18">
        <f t="shared" si="1"/>
        <v>20.765027322404372</v>
      </c>
      <c r="I22" s="22">
        <f>(G22/$D$29)*100</f>
        <v>79.666666666666657</v>
      </c>
      <c r="J22" s="4"/>
      <c r="K22" s="1" t="s">
        <v>20</v>
      </c>
      <c r="L22" s="11">
        <v>25.925925925925924</v>
      </c>
      <c r="M22" s="1" t="s">
        <v>22</v>
      </c>
      <c r="N22" s="11">
        <v>33.75</v>
      </c>
      <c r="O22" s="1" t="s">
        <v>21</v>
      </c>
      <c r="P22" s="11">
        <v>30.201342281879196</v>
      </c>
    </row>
    <row r="23" spans="2:16" x14ac:dyDescent="0.3">
      <c r="B23" s="51"/>
      <c r="C23" s="3" t="s">
        <v>16</v>
      </c>
      <c r="D23" s="5">
        <v>745</v>
      </c>
      <c r="E23" s="5">
        <v>311</v>
      </c>
      <c r="F23" s="5">
        <v>434</v>
      </c>
      <c r="G23" s="5">
        <v>155</v>
      </c>
      <c r="H23" s="18">
        <f t="shared" si="1"/>
        <v>41.744966442953022</v>
      </c>
      <c r="I23" s="22">
        <f>(G23/$D$29)*100</f>
        <v>17.222222222222221</v>
      </c>
      <c r="J23" s="4"/>
      <c r="M23" s="1" t="s">
        <v>21</v>
      </c>
      <c r="N23" s="11">
        <v>29.360100376411541</v>
      </c>
      <c r="O23" s="1" t="s">
        <v>20</v>
      </c>
      <c r="P23" s="11">
        <v>21.5962441314554</v>
      </c>
    </row>
    <row r="24" spans="2:16" x14ac:dyDescent="0.3">
      <c r="B24" s="51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20</v>
      </c>
      <c r="N24" s="11">
        <v>26.51006711409396</v>
      </c>
      <c r="O24" s="1" t="s">
        <v>23</v>
      </c>
      <c r="P24" s="11">
        <v>20.765027322404372</v>
      </c>
    </row>
    <row r="25" spans="2:16" x14ac:dyDescent="0.3">
      <c r="J25" s="4"/>
    </row>
    <row r="26" spans="2:16" x14ac:dyDescent="0.3">
      <c r="J26" s="4"/>
    </row>
    <row r="27" spans="2:16" x14ac:dyDescent="0.3">
      <c r="B27" s="41" t="s">
        <v>27</v>
      </c>
      <c r="C27" s="41"/>
      <c r="D27" s="41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900</v>
      </c>
      <c r="D29" s="12">
        <v>900</v>
      </c>
    </row>
    <row r="30" spans="2:16" x14ac:dyDescent="0.3">
      <c r="B30" s="15" t="s">
        <v>32</v>
      </c>
      <c r="C30" s="12">
        <v>125</v>
      </c>
      <c r="D30" s="12"/>
    </row>
    <row r="31" spans="2:16" x14ac:dyDescent="0.3">
      <c r="B31" s="15" t="s">
        <v>33</v>
      </c>
      <c r="C31" s="12">
        <f>SUM(C29:C30)</f>
        <v>1025</v>
      </c>
      <c r="D31" s="12">
        <f t="shared" ref="D31" si="2">SUM(D29:D30)</f>
        <v>900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C8A8-3FBA-4BC8-83C1-A9037C6A82D5}">
  <sheetPr>
    <tabColor theme="8" tint="0.59999389629810485"/>
  </sheetPr>
  <dimension ref="B2:P31"/>
  <sheetViews>
    <sheetView topLeftCell="B2" zoomScale="83" workbookViewId="0">
      <selection activeCell="H22" sqref="H22:H23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7" t="s">
        <v>34</v>
      </c>
      <c r="C2" s="38"/>
      <c r="D2" s="38"/>
      <c r="E2" s="38"/>
      <c r="F2" s="38"/>
      <c r="G2" s="38"/>
      <c r="H2" s="38"/>
      <c r="I2" s="38"/>
      <c r="K2" s="42" t="s">
        <v>1</v>
      </c>
      <c r="L2" s="42"/>
      <c r="M2" s="42"/>
      <c r="N2" s="42"/>
      <c r="O2" s="42"/>
      <c r="P2" s="42"/>
    </row>
    <row r="3" spans="2:16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43" t="s">
        <v>14</v>
      </c>
      <c r="C4" s="3" t="s">
        <v>15</v>
      </c>
      <c r="D4" s="3">
        <v>962</v>
      </c>
      <c r="E4" s="3">
        <v>452</v>
      </c>
      <c r="F4" s="3">
        <v>510</v>
      </c>
      <c r="G4" s="3">
        <v>5</v>
      </c>
      <c r="H4" s="18">
        <f>(E4/D4)*100</f>
        <v>46.985446985446991</v>
      </c>
      <c r="I4" s="22">
        <f t="shared" ref="I4:I17" si="0">(G4/$D$29)*100</f>
        <v>0.51706308169596693</v>
      </c>
      <c r="J4" s="4"/>
      <c r="K4" s="14" t="s">
        <v>14</v>
      </c>
      <c r="L4" s="7">
        <f>H5-H6</f>
        <v>1.861446939167152</v>
      </c>
      <c r="M4" s="8"/>
      <c r="N4" s="7">
        <f>H4-H5</f>
        <v>-6.1185138905344161E-2</v>
      </c>
      <c r="O4" s="8"/>
      <c r="P4" s="7">
        <f>H4-H6</f>
        <v>1.8002618002618078</v>
      </c>
    </row>
    <row r="5" spans="2:16" x14ac:dyDescent="0.3">
      <c r="B5" s="43"/>
      <c r="C5" s="3" t="s">
        <v>16</v>
      </c>
      <c r="D5" s="3">
        <v>965</v>
      </c>
      <c r="E5" s="3">
        <v>454</v>
      </c>
      <c r="F5" s="3">
        <v>511</v>
      </c>
      <c r="G5" s="3">
        <v>2</v>
      </c>
      <c r="H5" s="18">
        <f t="shared" ref="H5:H23" si="1">(E5/D5)*100</f>
        <v>47.046632124352335</v>
      </c>
      <c r="I5" s="22">
        <f t="shared" si="0"/>
        <v>0.20682523267838679</v>
      </c>
      <c r="J5" s="4"/>
      <c r="K5" s="14" t="s">
        <v>17</v>
      </c>
      <c r="L5" s="7">
        <f>H8-H9</f>
        <v>4.9736061202501531</v>
      </c>
      <c r="M5" s="8"/>
      <c r="N5" s="7">
        <f>H7-H8</f>
        <v>0.94145569620253156</v>
      </c>
      <c r="O5" s="8"/>
      <c r="P5" s="7">
        <f>H7-H9</f>
        <v>5.9150618164526847</v>
      </c>
    </row>
    <row r="6" spans="2:16" x14ac:dyDescent="0.3">
      <c r="B6" s="43"/>
      <c r="C6" s="3" t="s">
        <v>18</v>
      </c>
      <c r="D6" s="3">
        <v>945</v>
      </c>
      <c r="E6" s="3">
        <v>427</v>
      </c>
      <c r="F6" s="3">
        <v>518</v>
      </c>
      <c r="G6" s="3">
        <v>22</v>
      </c>
      <c r="H6" s="18">
        <f t="shared" si="1"/>
        <v>45.185185185185183</v>
      </c>
      <c r="I6" s="22">
        <f t="shared" si="0"/>
        <v>2.2750775594622543</v>
      </c>
      <c r="J6" s="4"/>
      <c r="K6" s="14" t="s">
        <v>19</v>
      </c>
      <c r="L6" s="7">
        <f>H11-H12</f>
        <v>-0.10282348975864863</v>
      </c>
      <c r="M6" s="8"/>
      <c r="N6" s="7">
        <f>H10-H11</f>
        <v>1.3182918395573964</v>
      </c>
      <c r="O6" s="8"/>
      <c r="P6" s="7">
        <f>H10-H12</f>
        <v>1.2154683497987477</v>
      </c>
    </row>
    <row r="7" spans="2:16" x14ac:dyDescent="0.3">
      <c r="B7" s="43" t="s">
        <v>17</v>
      </c>
      <c r="C7" s="1" t="s">
        <v>15</v>
      </c>
      <c r="D7" s="1">
        <v>960</v>
      </c>
      <c r="E7" s="1">
        <v>406</v>
      </c>
      <c r="F7" s="1">
        <v>554</v>
      </c>
      <c r="G7" s="1">
        <v>7</v>
      </c>
      <c r="H7" s="19">
        <f t="shared" si="1"/>
        <v>42.291666666666664</v>
      </c>
      <c r="I7" s="23">
        <f t="shared" si="0"/>
        <v>0.72388831437435364</v>
      </c>
      <c r="J7" s="4"/>
      <c r="K7" s="14" t="s">
        <v>20</v>
      </c>
      <c r="L7" s="7">
        <f>H14-H15</f>
        <v>-3.369160810252172</v>
      </c>
      <c r="M7" s="8"/>
      <c r="N7" s="7">
        <f>H13-H14</f>
        <v>-2.2778797365864172</v>
      </c>
      <c r="O7" s="8"/>
      <c r="P7" s="7">
        <f>H13-H15</f>
        <v>-5.6470405468385891</v>
      </c>
    </row>
    <row r="8" spans="2:16" x14ac:dyDescent="0.3">
      <c r="B8" s="43"/>
      <c r="C8" s="1" t="s">
        <v>16</v>
      </c>
      <c r="D8" s="1">
        <v>948</v>
      </c>
      <c r="E8" s="1">
        <v>392</v>
      </c>
      <c r="F8" s="1">
        <v>556</v>
      </c>
      <c r="G8" s="1">
        <v>19</v>
      </c>
      <c r="H8" s="19">
        <f t="shared" si="1"/>
        <v>41.350210970464133</v>
      </c>
      <c r="I8" s="23">
        <f t="shared" si="0"/>
        <v>1.9648397104446742</v>
      </c>
      <c r="J8" s="4"/>
      <c r="K8" s="14" t="s">
        <v>21</v>
      </c>
      <c r="L8" s="9"/>
      <c r="M8" s="7">
        <f>H17-H14</f>
        <v>4.849501552226144</v>
      </c>
      <c r="N8" s="7">
        <f>H16-H17</f>
        <v>1.4002754326088294</v>
      </c>
      <c r="O8" s="7">
        <f>H16-H13</f>
        <v>8.5276567214213905</v>
      </c>
      <c r="P8" s="7">
        <f>H16-H15</f>
        <v>2.8806161745828014</v>
      </c>
    </row>
    <row r="9" spans="2:16" x14ac:dyDescent="0.3">
      <c r="B9" s="43"/>
      <c r="C9" s="1" t="s">
        <v>18</v>
      </c>
      <c r="D9" s="1">
        <v>701</v>
      </c>
      <c r="E9" s="1">
        <v>255</v>
      </c>
      <c r="F9" s="1">
        <v>446</v>
      </c>
      <c r="G9" s="1">
        <v>266</v>
      </c>
      <c r="H9" s="19">
        <f t="shared" si="1"/>
        <v>36.37660485021398</v>
      </c>
      <c r="I9" s="23">
        <f t="shared" si="0"/>
        <v>27.507755946225437</v>
      </c>
      <c r="J9" s="4"/>
      <c r="K9" s="14" t="s">
        <v>22</v>
      </c>
      <c r="L9" s="7">
        <f>H20-H21</f>
        <v>6.75141242937854</v>
      </c>
      <c r="M9" s="8"/>
      <c r="N9" s="7">
        <f>H19-H20</f>
        <v>-2.3148148148148167</v>
      </c>
      <c r="O9" s="8"/>
      <c r="P9" s="7">
        <f>H19-H21</f>
        <v>4.4365976145637234</v>
      </c>
    </row>
    <row r="10" spans="2:16" x14ac:dyDescent="0.3">
      <c r="B10" s="43" t="s">
        <v>19</v>
      </c>
      <c r="C10" s="3" t="s">
        <v>15</v>
      </c>
      <c r="D10" s="3">
        <v>960</v>
      </c>
      <c r="E10" s="3">
        <v>410</v>
      </c>
      <c r="F10" s="3">
        <v>550</v>
      </c>
      <c r="G10" s="3">
        <v>7</v>
      </c>
      <c r="H10" s="18">
        <f t="shared" si="1"/>
        <v>42.708333333333329</v>
      </c>
      <c r="I10" s="22">
        <f t="shared" si="0"/>
        <v>0.72388831437435364</v>
      </c>
      <c r="J10" s="4"/>
      <c r="K10" s="14" t="s">
        <v>23</v>
      </c>
      <c r="L10" s="9"/>
      <c r="M10" s="7">
        <f>H23-H20</f>
        <v>-5.1635991820040914</v>
      </c>
      <c r="N10" s="7">
        <f>H22-H23</f>
        <v>-10.80474346231621</v>
      </c>
      <c r="O10" s="7">
        <f>H22-H20</f>
        <v>-15.968342644320302</v>
      </c>
      <c r="P10" s="7">
        <f>H22-H21</f>
        <v>-9.2169302149417618</v>
      </c>
    </row>
    <row r="11" spans="2:16" x14ac:dyDescent="0.3">
      <c r="B11" s="43"/>
      <c r="C11" s="3" t="s">
        <v>16</v>
      </c>
      <c r="D11" s="3">
        <v>964</v>
      </c>
      <c r="E11" s="3">
        <v>399</v>
      </c>
      <c r="F11" s="3">
        <v>565</v>
      </c>
      <c r="G11" s="3">
        <v>3</v>
      </c>
      <c r="H11" s="18">
        <f t="shared" si="1"/>
        <v>41.390041493775932</v>
      </c>
      <c r="I11" s="22">
        <f t="shared" si="0"/>
        <v>0.31023784901758011</v>
      </c>
      <c r="J11" s="4"/>
    </row>
    <row r="12" spans="2:16" x14ac:dyDescent="0.3">
      <c r="B12" s="43"/>
      <c r="C12" s="3" t="s">
        <v>18</v>
      </c>
      <c r="D12" s="3">
        <v>911</v>
      </c>
      <c r="E12" s="3">
        <v>378</v>
      </c>
      <c r="F12" s="3">
        <v>533</v>
      </c>
      <c r="G12" s="3">
        <v>56</v>
      </c>
      <c r="H12" s="18">
        <f t="shared" si="1"/>
        <v>41.492864983534581</v>
      </c>
      <c r="I12" s="22">
        <f t="shared" si="0"/>
        <v>5.7911065149948291</v>
      </c>
      <c r="J12" s="4"/>
    </row>
    <row r="13" spans="2:16" x14ac:dyDescent="0.3">
      <c r="B13" s="43" t="s">
        <v>20</v>
      </c>
      <c r="C13" s="1" t="s">
        <v>15</v>
      </c>
      <c r="D13" s="1">
        <v>314</v>
      </c>
      <c r="E13" s="1">
        <v>78</v>
      </c>
      <c r="F13" s="1">
        <v>236</v>
      </c>
      <c r="G13" s="1">
        <v>653</v>
      </c>
      <c r="H13" s="19">
        <f t="shared" si="1"/>
        <v>24.840764331210192</v>
      </c>
      <c r="I13" s="23">
        <f t="shared" si="0"/>
        <v>67.528438469493281</v>
      </c>
      <c r="J13" s="4"/>
    </row>
    <row r="14" spans="2:16" x14ac:dyDescent="0.3">
      <c r="B14" s="43"/>
      <c r="C14" s="1" t="s">
        <v>16</v>
      </c>
      <c r="D14" s="1">
        <v>413</v>
      </c>
      <c r="E14" s="1">
        <v>112</v>
      </c>
      <c r="F14" s="1">
        <v>301</v>
      </c>
      <c r="G14" s="1">
        <v>554</v>
      </c>
      <c r="H14" s="19">
        <f t="shared" si="1"/>
        <v>27.118644067796609</v>
      </c>
      <c r="I14" s="23">
        <f t="shared" si="0"/>
        <v>57.290589451913135</v>
      </c>
      <c r="J14" s="4"/>
    </row>
    <row r="15" spans="2:16" x14ac:dyDescent="0.3">
      <c r="B15" s="43"/>
      <c r="C15" s="1" t="s">
        <v>18</v>
      </c>
      <c r="D15" s="1">
        <v>82</v>
      </c>
      <c r="E15" s="1">
        <v>25</v>
      </c>
      <c r="F15" s="1">
        <v>57</v>
      </c>
      <c r="G15" s="1">
        <v>885</v>
      </c>
      <c r="H15" s="19">
        <f t="shared" si="1"/>
        <v>30.487804878048781</v>
      </c>
      <c r="I15" s="23">
        <f t="shared" si="0"/>
        <v>91.520165460186149</v>
      </c>
      <c r="J15" s="4"/>
      <c r="K15" s="44" t="s">
        <v>24</v>
      </c>
      <c r="L15" s="45"/>
      <c r="M15" s="45"/>
      <c r="N15" s="45"/>
      <c r="O15" s="45"/>
      <c r="P15" s="46"/>
    </row>
    <row r="16" spans="2:16" x14ac:dyDescent="0.3">
      <c r="B16" s="47" t="s">
        <v>21</v>
      </c>
      <c r="C16" s="3" t="s">
        <v>15</v>
      </c>
      <c r="D16" s="3">
        <v>950</v>
      </c>
      <c r="E16" s="3">
        <v>317</v>
      </c>
      <c r="F16" s="3">
        <v>633</v>
      </c>
      <c r="G16" s="3">
        <v>17</v>
      </c>
      <c r="H16" s="18">
        <f t="shared" si="1"/>
        <v>33.368421052631582</v>
      </c>
      <c r="I16" s="22">
        <f t="shared" si="0"/>
        <v>1.7580144777662874</v>
      </c>
      <c r="J16" s="4"/>
      <c r="K16" s="52" t="s">
        <v>25</v>
      </c>
      <c r="L16" s="53"/>
      <c r="M16" s="52" t="s">
        <v>16</v>
      </c>
      <c r="N16" s="53"/>
      <c r="O16" s="52" t="s">
        <v>15</v>
      </c>
      <c r="P16" s="53"/>
    </row>
    <row r="17" spans="2:16" x14ac:dyDescent="0.3">
      <c r="B17" s="48"/>
      <c r="C17" s="3" t="s">
        <v>16</v>
      </c>
      <c r="D17" s="3">
        <v>879</v>
      </c>
      <c r="E17" s="3">
        <v>281</v>
      </c>
      <c r="F17" s="3">
        <v>598</v>
      </c>
      <c r="G17" s="3">
        <v>88</v>
      </c>
      <c r="H17" s="18">
        <f t="shared" si="1"/>
        <v>31.968145620022753</v>
      </c>
      <c r="I17" s="22">
        <f t="shared" si="0"/>
        <v>9.1003102378490173</v>
      </c>
      <c r="J17" s="4"/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9"/>
      <c r="C18" s="24" t="s">
        <v>18</v>
      </c>
      <c r="D18" s="24"/>
      <c r="E18" s="24"/>
      <c r="F18" s="24"/>
      <c r="G18" s="24"/>
      <c r="H18" s="25"/>
      <c r="I18" s="26"/>
      <c r="J18" s="4"/>
      <c r="K18" s="1" t="s">
        <v>14</v>
      </c>
      <c r="L18" s="11">
        <v>45.185185185185183</v>
      </c>
      <c r="M18" s="1" t="s">
        <v>14</v>
      </c>
      <c r="N18" s="11">
        <v>47.046632124352335</v>
      </c>
      <c r="O18" s="1" t="s">
        <v>14</v>
      </c>
      <c r="P18" s="11">
        <v>46.985446985446991</v>
      </c>
    </row>
    <row r="19" spans="2:16" x14ac:dyDescent="0.3">
      <c r="B19" s="43" t="s">
        <v>22</v>
      </c>
      <c r="C19" s="1" t="s">
        <v>15</v>
      </c>
      <c r="D19" s="1">
        <v>432</v>
      </c>
      <c r="E19" s="1">
        <v>170</v>
      </c>
      <c r="F19" s="1">
        <v>262</v>
      </c>
      <c r="G19" s="1">
        <v>535</v>
      </c>
      <c r="H19" s="19">
        <f t="shared" si="1"/>
        <v>39.351851851851855</v>
      </c>
      <c r="I19" s="23">
        <f>(G19/$D$29)*100</f>
        <v>55.325749741468456</v>
      </c>
      <c r="J19" s="4"/>
      <c r="K19" s="1" t="s">
        <v>19</v>
      </c>
      <c r="L19" s="11">
        <v>41.492864983534581</v>
      </c>
      <c r="M19" s="1" t="s">
        <v>22</v>
      </c>
      <c r="N19" s="11">
        <v>41.666666666666671</v>
      </c>
      <c r="O19" s="1" t="s">
        <v>19</v>
      </c>
      <c r="P19" s="11">
        <v>42.708333333333329</v>
      </c>
    </row>
    <row r="20" spans="2:16" x14ac:dyDescent="0.3">
      <c r="B20" s="43"/>
      <c r="C20" s="1" t="s">
        <v>16</v>
      </c>
      <c r="D20" s="1">
        <v>840</v>
      </c>
      <c r="E20" s="1">
        <v>350</v>
      </c>
      <c r="F20" s="1">
        <v>490</v>
      </c>
      <c r="G20" s="1">
        <v>127</v>
      </c>
      <c r="H20" s="19">
        <f t="shared" si="1"/>
        <v>41.666666666666671</v>
      </c>
      <c r="I20" s="23">
        <f>(G20/$D$29)*100</f>
        <v>13.133402275077561</v>
      </c>
      <c r="J20" s="4"/>
      <c r="K20" s="1" t="s">
        <v>17</v>
      </c>
      <c r="L20" s="11">
        <v>36.37660485021398</v>
      </c>
      <c r="M20" s="1" t="s">
        <v>19</v>
      </c>
      <c r="N20" s="11">
        <v>41.390041493775932</v>
      </c>
      <c r="O20" s="1" t="s">
        <v>17</v>
      </c>
      <c r="P20" s="11">
        <v>42.291666666666664</v>
      </c>
    </row>
    <row r="21" spans="2:16" x14ac:dyDescent="0.3">
      <c r="B21" s="43"/>
      <c r="C21" s="1" t="s">
        <v>18</v>
      </c>
      <c r="D21" s="1">
        <v>295</v>
      </c>
      <c r="E21" s="1">
        <v>103</v>
      </c>
      <c r="F21" s="1">
        <v>192</v>
      </c>
      <c r="G21" s="1">
        <v>672</v>
      </c>
      <c r="H21" s="19">
        <f t="shared" si="1"/>
        <v>34.915254237288131</v>
      </c>
      <c r="I21" s="23">
        <f>(G21/$D$29)*100</f>
        <v>69.49327817993796</v>
      </c>
      <c r="J21" s="4"/>
      <c r="K21" s="1" t="s">
        <v>22</v>
      </c>
      <c r="L21" s="11">
        <v>34.915254237288131</v>
      </c>
      <c r="M21" s="1" t="s">
        <v>17</v>
      </c>
      <c r="N21" s="11">
        <v>41.350210970464133</v>
      </c>
      <c r="O21" s="1" t="s">
        <v>22</v>
      </c>
      <c r="P21" s="11">
        <v>39.351851851851855</v>
      </c>
    </row>
    <row r="22" spans="2:16" x14ac:dyDescent="0.3">
      <c r="B22" s="50" t="s">
        <v>23</v>
      </c>
      <c r="C22" s="3" t="s">
        <v>15</v>
      </c>
      <c r="D22" s="3">
        <v>179</v>
      </c>
      <c r="E22" s="3">
        <v>46</v>
      </c>
      <c r="F22" s="3">
        <v>133</v>
      </c>
      <c r="G22" s="3">
        <v>788</v>
      </c>
      <c r="H22" s="18">
        <f t="shared" si="1"/>
        <v>25.69832402234637</v>
      </c>
      <c r="I22" s="22">
        <f>(G22/$D$29)*100</f>
        <v>81.489141675284387</v>
      </c>
      <c r="J22" s="4"/>
      <c r="K22" s="1" t="s">
        <v>20</v>
      </c>
      <c r="L22" s="11">
        <v>30.487804878048781</v>
      </c>
      <c r="M22" s="1" t="s">
        <v>23</v>
      </c>
      <c r="N22" s="11">
        <v>36.50306748466258</v>
      </c>
      <c r="O22" s="1" t="s">
        <v>21</v>
      </c>
      <c r="P22" s="11">
        <v>33.368421052631582</v>
      </c>
    </row>
    <row r="23" spans="2:16" x14ac:dyDescent="0.3">
      <c r="B23" s="51"/>
      <c r="C23" s="3" t="s">
        <v>16</v>
      </c>
      <c r="D23" s="5">
        <v>326</v>
      </c>
      <c r="E23" s="5">
        <v>119</v>
      </c>
      <c r="F23" s="5">
        <v>207</v>
      </c>
      <c r="G23" s="5">
        <v>641</v>
      </c>
      <c r="H23" s="18">
        <f t="shared" si="1"/>
        <v>36.50306748466258</v>
      </c>
      <c r="I23" s="22">
        <f>(G23/$D$29)*100</f>
        <v>66.287487073422952</v>
      </c>
      <c r="J23" s="4"/>
      <c r="M23" s="1" t="s">
        <v>21</v>
      </c>
      <c r="N23" s="11">
        <v>31.968145620022753</v>
      </c>
      <c r="O23" s="1" t="s">
        <v>23</v>
      </c>
      <c r="P23" s="11">
        <v>25.69832402234637</v>
      </c>
    </row>
    <row r="24" spans="2:16" x14ac:dyDescent="0.3">
      <c r="B24" s="51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20</v>
      </c>
      <c r="N24" s="11">
        <v>27.118644067796609</v>
      </c>
      <c r="O24" s="1" t="s">
        <v>20</v>
      </c>
      <c r="P24" s="11">
        <v>24.840764331210192</v>
      </c>
    </row>
    <row r="25" spans="2:16" x14ac:dyDescent="0.3">
      <c r="J25" s="4"/>
    </row>
    <row r="26" spans="2:16" x14ac:dyDescent="0.3">
      <c r="J26" s="4"/>
    </row>
    <row r="27" spans="2:16" x14ac:dyDescent="0.3">
      <c r="B27" s="41" t="s">
        <v>27</v>
      </c>
      <c r="C27" s="41"/>
      <c r="D27" s="41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967</v>
      </c>
      <c r="D29" s="12">
        <v>967</v>
      </c>
    </row>
    <row r="30" spans="2:16" x14ac:dyDescent="0.3">
      <c r="B30" s="15" t="s">
        <v>32</v>
      </c>
      <c r="C30" s="12">
        <v>57</v>
      </c>
      <c r="D30" s="12"/>
    </row>
    <row r="31" spans="2:16" x14ac:dyDescent="0.3">
      <c r="B31" s="15" t="s">
        <v>33</v>
      </c>
      <c r="C31" s="12">
        <f>SUM(C29:C30)</f>
        <v>1024</v>
      </c>
      <c r="D31" s="12">
        <f t="shared" ref="D31" si="2">SUM(D29:D30)</f>
        <v>967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A224-CE76-411E-A40B-C8F05224CC97}">
  <sheetPr>
    <tabColor theme="8" tint="0.59999389629810485"/>
  </sheetPr>
  <dimension ref="B2:P31"/>
  <sheetViews>
    <sheetView zoomScale="65" workbookViewId="0">
      <selection activeCell="N18" sqref="N18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7" t="s">
        <v>34</v>
      </c>
      <c r="C2" s="38"/>
      <c r="D2" s="38"/>
      <c r="E2" s="38"/>
      <c r="F2" s="38"/>
      <c r="G2" s="38"/>
      <c r="H2" s="38"/>
      <c r="I2" s="38"/>
      <c r="K2" s="42" t="s">
        <v>1</v>
      </c>
      <c r="L2" s="42"/>
      <c r="M2" s="42"/>
      <c r="N2" s="42"/>
      <c r="O2" s="42"/>
      <c r="P2" s="42"/>
    </row>
    <row r="3" spans="2:16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43" t="s">
        <v>14</v>
      </c>
      <c r="C4" s="3" t="s">
        <v>15</v>
      </c>
      <c r="D4" s="3">
        <v>1022</v>
      </c>
      <c r="E4" s="3">
        <v>636</v>
      </c>
      <c r="F4" s="3">
        <v>386</v>
      </c>
      <c r="G4" s="3">
        <v>3</v>
      </c>
      <c r="H4" s="18">
        <f>(E4/D4)*100</f>
        <v>62.230919765166334</v>
      </c>
      <c r="I4" s="22">
        <f t="shared" ref="I4:I17" si="0">(G4/$D$29)*100</f>
        <v>0.29268292682926828</v>
      </c>
      <c r="J4" s="4"/>
      <c r="K4" s="14" t="s">
        <v>14</v>
      </c>
      <c r="L4" s="7">
        <f>H5-H6</f>
        <v>0.76576390404066075</v>
      </c>
      <c r="M4" s="8"/>
      <c r="N4" s="7">
        <f>H4-H5</f>
        <v>2.3876288738832798</v>
      </c>
      <c r="O4" s="8"/>
      <c r="P4" s="7">
        <f>H4-H6</f>
        <v>3.1533927779239406</v>
      </c>
    </row>
    <row r="5" spans="2:16" x14ac:dyDescent="0.3">
      <c r="B5" s="43"/>
      <c r="C5" s="3" t="s">
        <v>16</v>
      </c>
      <c r="D5" s="3">
        <v>1021</v>
      </c>
      <c r="E5" s="3">
        <v>611</v>
      </c>
      <c r="F5" s="3">
        <v>410</v>
      </c>
      <c r="G5" s="3">
        <v>4</v>
      </c>
      <c r="H5" s="18">
        <f t="shared" ref="H5:H23" si="1">(E5/D5)*100</f>
        <v>59.843290891283054</v>
      </c>
      <c r="I5" s="22">
        <f t="shared" si="0"/>
        <v>0.3902439024390244</v>
      </c>
      <c r="J5" s="4"/>
      <c r="K5" s="14" t="s">
        <v>17</v>
      </c>
      <c r="L5" s="7">
        <f>H8-H9</f>
        <v>13.660579731776842</v>
      </c>
      <c r="M5" s="8"/>
      <c r="N5" s="7">
        <f>H7-H8</f>
        <v>-2.5011807152424552</v>
      </c>
      <c r="O5" s="8"/>
      <c r="P5" s="7">
        <f>H7-H9</f>
        <v>11.159399016534387</v>
      </c>
    </row>
    <row r="6" spans="2:16" x14ac:dyDescent="0.3">
      <c r="B6" s="43"/>
      <c r="C6" s="3" t="s">
        <v>18</v>
      </c>
      <c r="D6" s="3">
        <v>1019</v>
      </c>
      <c r="E6" s="3">
        <v>602</v>
      </c>
      <c r="F6" s="3">
        <v>417</v>
      </c>
      <c r="G6" s="3">
        <v>6</v>
      </c>
      <c r="H6" s="18">
        <f t="shared" si="1"/>
        <v>59.077526987242393</v>
      </c>
      <c r="I6" s="22">
        <f t="shared" si="0"/>
        <v>0.58536585365853655</v>
      </c>
      <c r="J6" s="4"/>
      <c r="K6" s="14" t="s">
        <v>19</v>
      </c>
      <c r="L6" s="7">
        <f>H11-H12</f>
        <v>8.834193706988458E-3</v>
      </c>
      <c r="M6" s="8"/>
      <c r="N6" s="7">
        <f>H10-H11</f>
        <v>1.016852897838902</v>
      </c>
      <c r="O6" s="8"/>
      <c r="P6" s="7">
        <f>H10-H12</f>
        <v>1.0256870915458904</v>
      </c>
    </row>
    <row r="7" spans="2:16" x14ac:dyDescent="0.3">
      <c r="B7" s="43" t="s">
        <v>17</v>
      </c>
      <c r="C7" s="1" t="s">
        <v>15</v>
      </c>
      <c r="D7" s="1">
        <v>1016</v>
      </c>
      <c r="E7" s="1">
        <v>572</v>
      </c>
      <c r="F7" s="1">
        <v>444</v>
      </c>
      <c r="G7" s="1">
        <v>9</v>
      </c>
      <c r="H7" s="19">
        <f t="shared" si="1"/>
        <v>56.2992125984252</v>
      </c>
      <c r="I7" s="23">
        <f t="shared" si="0"/>
        <v>0.87804878048780499</v>
      </c>
      <c r="J7" s="4"/>
      <c r="K7" s="14" t="s">
        <v>20</v>
      </c>
      <c r="L7" s="7">
        <f>H14-H15</f>
        <v>1.6344086021505397</v>
      </c>
      <c r="M7" s="8"/>
      <c r="N7" s="7">
        <f>H13-H14</f>
        <v>5.1487629188850619</v>
      </c>
      <c r="O7" s="8"/>
      <c r="P7" s="7">
        <f>H13-H15</f>
        <v>6.7831715210356016</v>
      </c>
    </row>
    <row r="8" spans="2:16" x14ac:dyDescent="0.3">
      <c r="B8" s="43"/>
      <c r="C8" s="1" t="s">
        <v>16</v>
      </c>
      <c r="D8" s="1">
        <v>1017</v>
      </c>
      <c r="E8" s="1">
        <v>598</v>
      </c>
      <c r="F8" s="1">
        <v>419</v>
      </c>
      <c r="G8" s="1">
        <v>8</v>
      </c>
      <c r="H8" s="19">
        <f t="shared" si="1"/>
        <v>58.800393313667655</v>
      </c>
      <c r="I8" s="23">
        <f t="shared" si="0"/>
        <v>0.78048780487804881</v>
      </c>
      <c r="J8" s="4"/>
      <c r="K8" s="14" t="s">
        <v>21</v>
      </c>
      <c r="L8" s="9"/>
      <c r="M8" s="7">
        <f>H17-H14</f>
        <v>13.922065227050563</v>
      </c>
      <c r="N8" s="7">
        <f>H16-H17</f>
        <v>-0.45406026103410824</v>
      </c>
      <c r="O8" s="7">
        <f>H16-H13</f>
        <v>8.319242047131393</v>
      </c>
      <c r="P8" s="7">
        <f>H16-H15</f>
        <v>15.102413568166995</v>
      </c>
    </row>
    <row r="9" spans="2:16" x14ac:dyDescent="0.3">
      <c r="B9" s="43"/>
      <c r="C9" s="1" t="s">
        <v>18</v>
      </c>
      <c r="D9" s="1">
        <v>751</v>
      </c>
      <c r="E9" s="1">
        <v>339</v>
      </c>
      <c r="F9" s="1">
        <v>412</v>
      </c>
      <c r="G9" s="1">
        <v>274</v>
      </c>
      <c r="H9" s="19">
        <f t="shared" si="1"/>
        <v>45.139813581890813</v>
      </c>
      <c r="I9" s="23">
        <f t="shared" si="0"/>
        <v>26.731707317073173</v>
      </c>
      <c r="J9" s="4"/>
      <c r="K9" s="14" t="s">
        <v>22</v>
      </c>
      <c r="L9" s="7">
        <f>H20-H21</f>
        <v>31.073822708914523</v>
      </c>
      <c r="M9" s="8"/>
      <c r="N9" s="7">
        <f>H19-H20</f>
        <v>-18.207028315448753</v>
      </c>
      <c r="O9" s="8"/>
      <c r="P9" s="7">
        <f>H19-H21</f>
        <v>12.866794393465771</v>
      </c>
    </row>
    <row r="10" spans="2:16" x14ac:dyDescent="0.3">
      <c r="B10" s="43" t="s">
        <v>19</v>
      </c>
      <c r="C10" s="3" t="s">
        <v>15</v>
      </c>
      <c r="D10" s="3">
        <v>1018</v>
      </c>
      <c r="E10" s="3">
        <v>579</v>
      </c>
      <c r="F10" s="3">
        <v>439</v>
      </c>
      <c r="G10" s="3">
        <v>7</v>
      </c>
      <c r="H10" s="18">
        <f t="shared" si="1"/>
        <v>56.876227897838902</v>
      </c>
      <c r="I10" s="22">
        <f t="shared" si="0"/>
        <v>0.68292682926829273</v>
      </c>
      <c r="J10" s="4"/>
      <c r="K10" s="14" t="s">
        <v>23</v>
      </c>
      <c r="L10" s="9"/>
      <c r="M10" s="7">
        <f>H23-H20</f>
        <v>-4.7034212834874225</v>
      </c>
      <c r="N10" s="7">
        <f>H22-H23</f>
        <v>-29.698491499108695</v>
      </c>
      <c r="O10" s="7">
        <f>H22-H20</f>
        <v>-34.401912782596114</v>
      </c>
      <c r="P10" s="7">
        <f>H22-H21</f>
        <v>-3.3280900736815937</v>
      </c>
    </row>
    <row r="11" spans="2:16" x14ac:dyDescent="0.3">
      <c r="B11" s="43"/>
      <c r="C11" s="3" t="s">
        <v>16</v>
      </c>
      <c r="D11" s="3">
        <v>1024</v>
      </c>
      <c r="E11" s="3">
        <v>572</v>
      </c>
      <c r="F11" s="3">
        <v>452</v>
      </c>
      <c r="G11" s="3">
        <v>1</v>
      </c>
      <c r="H11" s="18">
        <f t="shared" si="1"/>
        <v>55.859375</v>
      </c>
      <c r="I11" s="22">
        <f t="shared" si="0"/>
        <v>9.7560975609756101E-2</v>
      </c>
      <c r="J11" s="4"/>
    </row>
    <row r="12" spans="2:16" x14ac:dyDescent="0.3">
      <c r="B12" s="43"/>
      <c r="C12" s="3" t="s">
        <v>18</v>
      </c>
      <c r="D12" s="3">
        <v>1017</v>
      </c>
      <c r="E12" s="3">
        <v>568</v>
      </c>
      <c r="F12" s="3">
        <v>449</v>
      </c>
      <c r="G12" s="3">
        <v>8</v>
      </c>
      <c r="H12" s="18">
        <f t="shared" si="1"/>
        <v>55.850540806293012</v>
      </c>
      <c r="I12" s="22">
        <f t="shared" si="0"/>
        <v>0.78048780487804881</v>
      </c>
      <c r="J12" s="4"/>
    </row>
    <row r="13" spans="2:16" x14ac:dyDescent="0.3">
      <c r="B13" s="43" t="s">
        <v>20</v>
      </c>
      <c r="C13" s="1" t="s">
        <v>15</v>
      </c>
      <c r="D13" s="1">
        <v>309</v>
      </c>
      <c r="E13" s="1">
        <v>91</v>
      </c>
      <c r="F13" s="1">
        <v>218</v>
      </c>
      <c r="G13" s="1">
        <v>716</v>
      </c>
      <c r="H13" s="19">
        <f t="shared" si="1"/>
        <v>29.449838187702266</v>
      </c>
      <c r="I13" s="23">
        <f t="shared" si="0"/>
        <v>69.853658536585357</v>
      </c>
      <c r="J13" s="4"/>
    </row>
    <row r="14" spans="2:16" x14ac:dyDescent="0.3">
      <c r="B14" s="43"/>
      <c r="C14" s="1" t="s">
        <v>16</v>
      </c>
      <c r="D14" s="1">
        <v>465</v>
      </c>
      <c r="E14" s="1">
        <v>113</v>
      </c>
      <c r="F14" s="1">
        <v>352</v>
      </c>
      <c r="G14" s="1">
        <v>560</v>
      </c>
      <c r="H14" s="19">
        <f t="shared" si="1"/>
        <v>24.301075268817204</v>
      </c>
      <c r="I14" s="23">
        <f t="shared" si="0"/>
        <v>54.634146341463421</v>
      </c>
      <c r="J14" s="4"/>
    </row>
    <row r="15" spans="2:16" x14ac:dyDescent="0.3">
      <c r="B15" s="43"/>
      <c r="C15" s="1" t="s">
        <v>18</v>
      </c>
      <c r="D15" s="1">
        <v>75</v>
      </c>
      <c r="E15" s="1">
        <v>17</v>
      </c>
      <c r="F15" s="1">
        <v>58</v>
      </c>
      <c r="G15" s="1">
        <v>950</v>
      </c>
      <c r="H15" s="19">
        <f t="shared" si="1"/>
        <v>22.666666666666664</v>
      </c>
      <c r="I15" s="23">
        <f t="shared" si="0"/>
        <v>92.682926829268297</v>
      </c>
      <c r="J15" s="4"/>
      <c r="K15" s="44" t="s">
        <v>24</v>
      </c>
      <c r="L15" s="45"/>
      <c r="M15" s="45"/>
      <c r="N15" s="45"/>
      <c r="O15" s="45"/>
      <c r="P15" s="46"/>
    </row>
    <row r="16" spans="2:16" x14ac:dyDescent="0.3">
      <c r="B16" s="47" t="s">
        <v>21</v>
      </c>
      <c r="C16" s="3" t="s">
        <v>15</v>
      </c>
      <c r="D16" s="3">
        <v>1022</v>
      </c>
      <c r="E16" s="3">
        <v>386</v>
      </c>
      <c r="F16" s="3">
        <v>636</v>
      </c>
      <c r="G16" s="3">
        <v>3</v>
      </c>
      <c r="H16" s="18">
        <f t="shared" si="1"/>
        <v>37.769080234833659</v>
      </c>
      <c r="I16" s="22">
        <f t="shared" si="0"/>
        <v>0.29268292682926828</v>
      </c>
      <c r="J16" s="4"/>
      <c r="K16" s="52" t="s">
        <v>25</v>
      </c>
      <c r="L16" s="53"/>
      <c r="M16" s="52" t="s">
        <v>16</v>
      </c>
      <c r="N16" s="53"/>
      <c r="O16" s="52" t="s">
        <v>15</v>
      </c>
      <c r="P16" s="53"/>
    </row>
    <row r="17" spans="2:16" x14ac:dyDescent="0.3">
      <c r="B17" s="48"/>
      <c r="C17" s="3" t="s">
        <v>16</v>
      </c>
      <c r="D17" s="3">
        <v>968</v>
      </c>
      <c r="E17" s="3">
        <v>370</v>
      </c>
      <c r="F17" s="3">
        <v>598</v>
      </c>
      <c r="G17" s="3">
        <v>57</v>
      </c>
      <c r="H17" s="18">
        <f t="shared" si="1"/>
        <v>38.223140495867767</v>
      </c>
      <c r="I17" s="22">
        <f t="shared" si="0"/>
        <v>5.5609756097560981</v>
      </c>
      <c r="J17" s="4"/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9"/>
      <c r="C18" s="24" t="s">
        <v>18</v>
      </c>
      <c r="D18" s="24"/>
      <c r="E18" s="24"/>
      <c r="F18" s="24"/>
      <c r="G18" s="24"/>
      <c r="H18" s="25"/>
      <c r="I18" s="26"/>
      <c r="J18" s="4"/>
      <c r="K18" s="1" t="s">
        <v>14</v>
      </c>
      <c r="L18" s="11">
        <v>59.077526987242393</v>
      </c>
      <c r="M18" s="1" t="s">
        <v>22</v>
      </c>
      <c r="N18" s="11">
        <v>60.861056751467714</v>
      </c>
      <c r="O18" s="1" t="s">
        <v>14</v>
      </c>
      <c r="P18" s="11">
        <v>62.230919765166334</v>
      </c>
    </row>
    <row r="19" spans="2:16" x14ac:dyDescent="0.3">
      <c r="B19" s="43" t="s">
        <v>22</v>
      </c>
      <c r="C19" s="1" t="s">
        <v>15</v>
      </c>
      <c r="D19" s="1">
        <v>422</v>
      </c>
      <c r="E19" s="1">
        <v>180</v>
      </c>
      <c r="F19" s="1">
        <v>252</v>
      </c>
      <c r="G19" s="1">
        <v>593</v>
      </c>
      <c r="H19" s="19">
        <f t="shared" si="1"/>
        <v>42.654028436018962</v>
      </c>
      <c r="I19" s="23">
        <f>(G19/$D$29)*100</f>
        <v>57.853658536585364</v>
      </c>
      <c r="J19" s="4"/>
      <c r="K19" s="1" t="s">
        <v>19</v>
      </c>
      <c r="L19" s="11">
        <v>55.850540806293012</v>
      </c>
      <c r="M19" s="1" t="s">
        <v>14</v>
      </c>
      <c r="N19" s="11">
        <v>59.843290891283054</v>
      </c>
      <c r="O19" s="1" t="s">
        <v>19</v>
      </c>
      <c r="P19" s="11">
        <v>56.876227897838902</v>
      </c>
    </row>
    <row r="20" spans="2:16" x14ac:dyDescent="0.3">
      <c r="B20" s="43"/>
      <c r="C20" s="1" t="s">
        <v>16</v>
      </c>
      <c r="D20" s="1">
        <v>1022</v>
      </c>
      <c r="E20" s="1">
        <v>622</v>
      </c>
      <c r="F20" s="1">
        <v>400</v>
      </c>
      <c r="G20" s="1">
        <v>3</v>
      </c>
      <c r="H20" s="19">
        <f t="shared" si="1"/>
        <v>60.861056751467714</v>
      </c>
      <c r="I20" s="23">
        <f>(G20/$D$29)*100</f>
        <v>0.29268292682926828</v>
      </c>
      <c r="J20" s="4"/>
      <c r="K20" s="1" t="s">
        <v>17</v>
      </c>
      <c r="L20" s="11">
        <v>45.139813581890813</v>
      </c>
      <c r="M20" s="1" t="s">
        <v>17</v>
      </c>
      <c r="N20" s="11">
        <v>58.800393313667655</v>
      </c>
      <c r="O20" s="1" t="s">
        <v>17</v>
      </c>
      <c r="P20" s="11">
        <v>56.2992125984252</v>
      </c>
    </row>
    <row r="21" spans="2:16" x14ac:dyDescent="0.3">
      <c r="B21" s="43"/>
      <c r="C21" s="1" t="s">
        <v>18</v>
      </c>
      <c r="D21" s="1">
        <v>235</v>
      </c>
      <c r="E21" s="1">
        <v>70</v>
      </c>
      <c r="F21" s="1">
        <v>165</v>
      </c>
      <c r="G21" s="1">
        <v>790</v>
      </c>
      <c r="H21" s="19">
        <f t="shared" si="1"/>
        <v>29.787234042553191</v>
      </c>
      <c r="I21" s="23">
        <f>(G21/$D$29)*100</f>
        <v>77.073170731707322</v>
      </c>
      <c r="J21" s="4"/>
      <c r="K21" s="1" t="s">
        <v>22</v>
      </c>
      <c r="L21" s="11">
        <v>29.787234042553191</v>
      </c>
      <c r="M21" s="1" t="s">
        <v>23</v>
      </c>
      <c r="N21" s="11">
        <v>56.157635467980292</v>
      </c>
      <c r="O21" s="1" t="s">
        <v>22</v>
      </c>
      <c r="P21" s="11">
        <v>42.654028436018962</v>
      </c>
    </row>
    <row r="22" spans="2:16" x14ac:dyDescent="0.3">
      <c r="B22" s="50" t="s">
        <v>23</v>
      </c>
      <c r="C22" s="3" t="s">
        <v>15</v>
      </c>
      <c r="D22" s="3">
        <v>257</v>
      </c>
      <c r="E22" s="3">
        <v>68</v>
      </c>
      <c r="F22" s="3">
        <v>189</v>
      </c>
      <c r="G22" s="3">
        <v>768</v>
      </c>
      <c r="H22" s="18">
        <f t="shared" si="1"/>
        <v>26.459143968871597</v>
      </c>
      <c r="I22" s="22">
        <f>(G22/$D$29)*100</f>
        <v>74.926829268292678</v>
      </c>
      <c r="J22" s="4"/>
      <c r="K22" s="1" t="s">
        <v>20</v>
      </c>
      <c r="L22" s="11">
        <v>22.666666666666664</v>
      </c>
      <c r="M22" s="1" t="s">
        <v>19</v>
      </c>
      <c r="N22" s="11">
        <v>55.859375</v>
      </c>
      <c r="O22" s="1" t="s">
        <v>21</v>
      </c>
      <c r="P22" s="11">
        <v>37.769080234833659</v>
      </c>
    </row>
    <row r="23" spans="2:16" x14ac:dyDescent="0.3">
      <c r="B23" s="51"/>
      <c r="C23" s="3" t="s">
        <v>16</v>
      </c>
      <c r="D23" s="5">
        <v>812</v>
      </c>
      <c r="E23" s="5">
        <v>456</v>
      </c>
      <c r="F23" s="5">
        <v>356</v>
      </c>
      <c r="G23" s="5">
        <v>213</v>
      </c>
      <c r="H23" s="18">
        <f t="shared" si="1"/>
        <v>56.157635467980292</v>
      </c>
      <c r="I23" s="22">
        <f>(G23/$D$29)*100</f>
        <v>20.780487804878049</v>
      </c>
      <c r="J23" s="4"/>
      <c r="M23" s="1" t="s">
        <v>21</v>
      </c>
      <c r="N23" s="11">
        <v>38.223140495867767</v>
      </c>
      <c r="O23" s="1" t="s">
        <v>20</v>
      </c>
      <c r="P23" s="11">
        <v>29.449838187702266</v>
      </c>
    </row>
    <row r="24" spans="2:16" x14ac:dyDescent="0.3">
      <c r="B24" s="51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20</v>
      </c>
      <c r="N24" s="11">
        <v>24.301075268817204</v>
      </c>
      <c r="O24" s="1" t="s">
        <v>23</v>
      </c>
      <c r="P24" s="11">
        <v>26.459143968871597</v>
      </c>
    </row>
    <row r="25" spans="2:16" x14ac:dyDescent="0.3">
      <c r="J25" s="4"/>
    </row>
    <row r="26" spans="2:16" x14ac:dyDescent="0.3">
      <c r="J26" s="4"/>
    </row>
    <row r="27" spans="2:16" x14ac:dyDescent="0.3">
      <c r="B27" s="41" t="s">
        <v>27</v>
      </c>
      <c r="C27" s="41"/>
      <c r="D27" s="41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1025</v>
      </c>
      <c r="D29" s="12">
        <v>1025</v>
      </c>
    </row>
    <row r="30" spans="2:16" x14ac:dyDescent="0.3">
      <c r="B30" s="15" t="s">
        <v>32</v>
      </c>
      <c r="C30" s="12">
        <v>0</v>
      </c>
      <c r="D30" s="12"/>
    </row>
    <row r="31" spans="2:16" x14ac:dyDescent="0.3">
      <c r="B31" s="15" t="s">
        <v>33</v>
      </c>
      <c r="C31" s="12">
        <f>SUM(C29:C30)</f>
        <v>1025</v>
      </c>
      <c r="D31" s="12">
        <f t="shared" ref="D31" si="2">SUM(D29:D30)</f>
        <v>1025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0034-3282-4041-B3E7-C79A4E84CEA2}">
  <sheetPr>
    <tabColor theme="8" tint="0.59999389629810485"/>
  </sheetPr>
  <dimension ref="B2:P31"/>
  <sheetViews>
    <sheetView zoomScale="64" workbookViewId="0">
      <selection activeCell="H4" sqref="H4:H24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7" t="s">
        <v>34</v>
      </c>
      <c r="C2" s="38"/>
      <c r="D2" s="38"/>
      <c r="E2" s="38"/>
      <c r="F2" s="38"/>
      <c r="G2" s="38"/>
      <c r="H2" s="38"/>
      <c r="I2" s="38"/>
      <c r="K2" s="42" t="s">
        <v>1</v>
      </c>
      <c r="L2" s="42"/>
      <c r="M2" s="42"/>
      <c r="N2" s="42"/>
      <c r="O2" s="42"/>
      <c r="P2" s="42"/>
    </row>
    <row r="3" spans="2:16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43" t="s">
        <v>14</v>
      </c>
      <c r="C4" s="3" t="s">
        <v>15</v>
      </c>
      <c r="D4" s="3">
        <v>1025</v>
      </c>
      <c r="E4" s="3">
        <v>516</v>
      </c>
      <c r="F4" s="3">
        <v>509</v>
      </c>
      <c r="G4" s="3">
        <v>0</v>
      </c>
      <c r="H4" s="18">
        <f>(E4/D4)*100</f>
        <v>50.341463414634148</v>
      </c>
      <c r="I4" s="22">
        <f t="shared" ref="I4:I17" si="0">(G4/$D$29)*100</f>
        <v>0</v>
      </c>
      <c r="J4" s="4"/>
      <c r="K4" s="14" t="s">
        <v>14</v>
      </c>
      <c r="L4" s="7">
        <f>H5-H6</f>
        <v>1.8048780487804876</v>
      </c>
      <c r="M4" s="8"/>
      <c r="N4" s="7">
        <f>H4-H5</f>
        <v>-1.4634146341463392</v>
      </c>
      <c r="O4" s="8"/>
      <c r="P4" s="7">
        <f>H4-H6</f>
        <v>0.34146341463414842</v>
      </c>
    </row>
    <row r="5" spans="2:16" x14ac:dyDescent="0.3">
      <c r="B5" s="43"/>
      <c r="C5" s="3" t="s">
        <v>16</v>
      </c>
      <c r="D5" s="3">
        <v>1025</v>
      </c>
      <c r="E5" s="3">
        <v>531</v>
      </c>
      <c r="F5" s="3">
        <v>494</v>
      </c>
      <c r="G5" s="3">
        <v>0</v>
      </c>
      <c r="H5" s="18">
        <f t="shared" ref="H5:H23" si="1">(E5/D5)*100</f>
        <v>51.804878048780488</v>
      </c>
      <c r="I5" s="22">
        <f t="shared" si="0"/>
        <v>0</v>
      </c>
      <c r="J5" s="4"/>
      <c r="K5" s="14" t="s">
        <v>17</v>
      </c>
      <c r="L5" s="7">
        <f>H8-H9</f>
        <v>6.9809677501985234</v>
      </c>
      <c r="M5" s="8"/>
      <c r="N5" s="7">
        <f>H7-H8</f>
        <v>-0.11107955807722902</v>
      </c>
      <c r="O5" s="8"/>
      <c r="P5" s="7">
        <f>H7-H9</f>
        <v>6.8698881921212944</v>
      </c>
    </row>
    <row r="6" spans="2:16" x14ac:dyDescent="0.3">
      <c r="B6" s="43"/>
      <c r="C6" s="3" t="s">
        <v>18</v>
      </c>
      <c r="D6" s="3">
        <v>1016</v>
      </c>
      <c r="E6" s="3">
        <v>508</v>
      </c>
      <c r="F6" s="3">
        <v>508</v>
      </c>
      <c r="G6" s="3">
        <v>9</v>
      </c>
      <c r="H6" s="18">
        <f t="shared" si="1"/>
        <v>50</v>
      </c>
      <c r="I6" s="22">
        <f t="shared" si="0"/>
        <v>0.87804878048780499</v>
      </c>
      <c r="J6" s="4"/>
      <c r="K6" s="14" t="s">
        <v>19</v>
      </c>
      <c r="L6" s="7">
        <f>H11-H12</f>
        <v>0.61227255129694669</v>
      </c>
      <c r="M6" s="8"/>
      <c r="N6" s="7">
        <f>H10-H11</f>
        <v>-0.71938029114804891</v>
      </c>
      <c r="O6" s="8"/>
      <c r="P6" s="7">
        <f>H10-H12</f>
        <v>-0.10710773985110222</v>
      </c>
    </row>
    <row r="7" spans="2:16" x14ac:dyDescent="0.3">
      <c r="B7" s="43" t="s">
        <v>17</v>
      </c>
      <c r="C7" s="1" t="s">
        <v>15</v>
      </c>
      <c r="D7" s="1">
        <v>1021</v>
      </c>
      <c r="E7" s="1">
        <v>456</v>
      </c>
      <c r="F7" s="1">
        <v>565</v>
      </c>
      <c r="G7" s="1">
        <v>4</v>
      </c>
      <c r="H7" s="19">
        <f t="shared" si="1"/>
        <v>44.662095984329085</v>
      </c>
      <c r="I7" s="23">
        <f t="shared" si="0"/>
        <v>0.3902439024390244</v>
      </c>
      <c r="J7" s="4"/>
      <c r="K7" s="14" t="s">
        <v>20</v>
      </c>
      <c r="L7" s="7">
        <f>H14-H15</f>
        <v>-5.5248133509003061</v>
      </c>
      <c r="M7" s="8"/>
      <c r="N7" s="7">
        <f>H13-H14</f>
        <v>0.24074611934036483</v>
      </c>
      <c r="O7" s="8"/>
      <c r="P7" s="7">
        <f>H13-H15</f>
        <v>-5.2840672315599413</v>
      </c>
    </row>
    <row r="8" spans="2:16" x14ac:dyDescent="0.3">
      <c r="B8" s="43"/>
      <c r="C8" s="1" t="s">
        <v>16</v>
      </c>
      <c r="D8" s="1">
        <v>1014</v>
      </c>
      <c r="E8" s="1">
        <v>454</v>
      </c>
      <c r="F8" s="1">
        <v>500</v>
      </c>
      <c r="G8" s="1">
        <v>11</v>
      </c>
      <c r="H8" s="19">
        <f t="shared" si="1"/>
        <v>44.773175542406314</v>
      </c>
      <c r="I8" s="23">
        <f t="shared" si="0"/>
        <v>1.0731707317073171</v>
      </c>
      <c r="J8" s="4"/>
      <c r="K8" s="14" t="s">
        <v>21</v>
      </c>
      <c r="L8" s="9"/>
      <c r="M8" s="7">
        <f>H17-H14</f>
        <v>8.660017900524231</v>
      </c>
      <c r="N8" s="7">
        <f>H16-H17</f>
        <v>-2.2186126980570826</v>
      </c>
      <c r="O8" s="7">
        <f>H16-H13</f>
        <v>6.2006590831267836</v>
      </c>
      <c r="P8" s="7">
        <f>H16-H15</f>
        <v>0.91659185156684231</v>
      </c>
    </row>
    <row r="9" spans="2:16" x14ac:dyDescent="0.3">
      <c r="B9" s="43"/>
      <c r="C9" s="1" t="s">
        <v>18</v>
      </c>
      <c r="D9" s="1">
        <v>770</v>
      </c>
      <c r="E9" s="1">
        <v>291</v>
      </c>
      <c r="F9" s="1">
        <v>479</v>
      </c>
      <c r="G9" s="1">
        <v>255</v>
      </c>
      <c r="H9" s="19">
        <f t="shared" si="1"/>
        <v>37.79220779220779</v>
      </c>
      <c r="I9" s="23">
        <f t="shared" si="0"/>
        <v>24.878048780487806</v>
      </c>
      <c r="J9" s="4"/>
      <c r="K9" s="14" t="s">
        <v>22</v>
      </c>
      <c r="L9" s="7">
        <f>H20-H21</f>
        <v>14.516206946524321</v>
      </c>
      <c r="M9" s="8"/>
      <c r="N9" s="7">
        <f>H19-H20</f>
        <v>-8.8394950695403551</v>
      </c>
      <c r="O9" s="8"/>
      <c r="P9" s="7">
        <f>H19-H21</f>
        <v>5.6767118769839655</v>
      </c>
    </row>
    <row r="10" spans="2:16" x14ac:dyDescent="0.3">
      <c r="B10" s="43" t="s">
        <v>19</v>
      </c>
      <c r="C10" s="3" t="s">
        <v>15</v>
      </c>
      <c r="D10" s="3">
        <v>1017</v>
      </c>
      <c r="E10" s="3">
        <v>461</v>
      </c>
      <c r="F10" s="3">
        <v>556</v>
      </c>
      <c r="G10" s="3">
        <v>8</v>
      </c>
      <c r="H10" s="18">
        <f t="shared" si="1"/>
        <v>45.329400196656835</v>
      </c>
      <c r="I10" s="22">
        <f t="shared" si="0"/>
        <v>0.78048780487804881</v>
      </c>
      <c r="J10" s="4"/>
      <c r="K10" s="14" t="s">
        <v>23</v>
      </c>
      <c r="L10" s="9"/>
      <c r="M10" s="7">
        <f>H23-H20</f>
        <v>-0.31755369598885608</v>
      </c>
      <c r="N10" s="7">
        <f>H22-H23</f>
        <v>-23.273191578984317</v>
      </c>
      <c r="O10" s="7">
        <f>H22-H20</f>
        <v>-23.590745274973173</v>
      </c>
      <c r="P10" s="7">
        <f>H22-H21</f>
        <v>-9.0745383284488526</v>
      </c>
    </row>
    <row r="11" spans="2:16" x14ac:dyDescent="0.3">
      <c r="B11" s="43"/>
      <c r="C11" s="3" t="s">
        <v>16</v>
      </c>
      <c r="D11" s="3">
        <v>1025</v>
      </c>
      <c r="E11" s="3">
        <v>472</v>
      </c>
      <c r="F11" s="3">
        <v>553</v>
      </c>
      <c r="G11" s="3">
        <v>0</v>
      </c>
      <c r="H11" s="18">
        <f t="shared" si="1"/>
        <v>46.048780487804883</v>
      </c>
      <c r="I11" s="22">
        <f t="shared" si="0"/>
        <v>0</v>
      </c>
      <c r="J11" s="4"/>
    </row>
    <row r="12" spans="2:16" x14ac:dyDescent="0.3">
      <c r="B12" s="43"/>
      <c r="C12" s="3" t="s">
        <v>18</v>
      </c>
      <c r="D12" s="3">
        <v>1008</v>
      </c>
      <c r="E12" s="3">
        <v>458</v>
      </c>
      <c r="F12" s="3">
        <v>550</v>
      </c>
      <c r="G12" s="3">
        <v>17</v>
      </c>
      <c r="H12" s="18">
        <f t="shared" si="1"/>
        <v>45.436507936507937</v>
      </c>
      <c r="I12" s="22">
        <f t="shared" si="0"/>
        <v>1.6585365853658538</v>
      </c>
      <c r="J12" s="4"/>
    </row>
    <row r="13" spans="2:16" x14ac:dyDescent="0.3">
      <c r="B13" s="43" t="s">
        <v>20</v>
      </c>
      <c r="C13" s="1" t="s">
        <v>15</v>
      </c>
      <c r="D13" s="1">
        <v>313</v>
      </c>
      <c r="E13" s="1">
        <v>76</v>
      </c>
      <c r="F13" s="1">
        <v>237</v>
      </c>
      <c r="G13" s="1">
        <v>712</v>
      </c>
      <c r="H13" s="19">
        <f t="shared" si="1"/>
        <v>24.281150159744406</v>
      </c>
      <c r="I13" s="23">
        <f t="shared" si="0"/>
        <v>69.463414634146332</v>
      </c>
      <c r="J13" s="4"/>
    </row>
    <row r="14" spans="2:16" x14ac:dyDescent="0.3">
      <c r="B14" s="43"/>
      <c r="C14" s="1" t="s">
        <v>16</v>
      </c>
      <c r="D14" s="1">
        <v>495</v>
      </c>
      <c r="E14" s="1">
        <v>119</v>
      </c>
      <c r="F14" s="1">
        <v>376</v>
      </c>
      <c r="G14" s="1">
        <v>530</v>
      </c>
      <c r="H14" s="19">
        <f t="shared" si="1"/>
        <v>24.040404040404042</v>
      </c>
      <c r="I14" s="23">
        <f t="shared" si="0"/>
        <v>51.707317073170735</v>
      </c>
      <c r="J14" s="4"/>
    </row>
    <row r="15" spans="2:16" x14ac:dyDescent="0.3">
      <c r="B15" s="43"/>
      <c r="C15" s="1" t="s">
        <v>18</v>
      </c>
      <c r="D15" s="1">
        <v>115</v>
      </c>
      <c r="E15" s="1">
        <v>34</v>
      </c>
      <c r="F15" s="1">
        <v>81</v>
      </c>
      <c r="G15" s="1">
        <v>910</v>
      </c>
      <c r="H15" s="19">
        <f t="shared" si="1"/>
        <v>29.565217391304348</v>
      </c>
      <c r="I15" s="23">
        <f t="shared" si="0"/>
        <v>88.780487804878049</v>
      </c>
      <c r="J15" s="4"/>
      <c r="K15" s="44" t="s">
        <v>24</v>
      </c>
      <c r="L15" s="45"/>
      <c r="M15" s="45"/>
      <c r="N15" s="45"/>
      <c r="O15" s="45"/>
      <c r="P15" s="46"/>
    </row>
    <row r="16" spans="2:16" x14ac:dyDescent="0.3">
      <c r="B16" s="47" t="s">
        <v>21</v>
      </c>
      <c r="C16" s="3" t="s">
        <v>15</v>
      </c>
      <c r="D16" s="3">
        <v>1017</v>
      </c>
      <c r="E16" s="3">
        <v>310</v>
      </c>
      <c r="F16" s="3">
        <v>707</v>
      </c>
      <c r="G16" s="3">
        <v>8</v>
      </c>
      <c r="H16" s="18">
        <f t="shared" si="1"/>
        <v>30.48180924287119</v>
      </c>
      <c r="I16" s="22">
        <f t="shared" si="0"/>
        <v>0.78048780487804881</v>
      </c>
      <c r="J16" s="4"/>
      <c r="K16" s="52" t="s">
        <v>25</v>
      </c>
      <c r="L16" s="53"/>
      <c r="M16" s="52" t="s">
        <v>16</v>
      </c>
      <c r="N16" s="53"/>
      <c r="O16" s="52" t="s">
        <v>15</v>
      </c>
      <c r="P16" s="53"/>
    </row>
    <row r="17" spans="2:16" x14ac:dyDescent="0.3">
      <c r="B17" s="48"/>
      <c r="C17" s="3" t="s">
        <v>16</v>
      </c>
      <c r="D17" s="3">
        <v>948</v>
      </c>
      <c r="E17" s="3">
        <v>310</v>
      </c>
      <c r="F17" s="3">
        <v>638</v>
      </c>
      <c r="G17" s="3">
        <v>77</v>
      </c>
      <c r="H17" s="18">
        <f t="shared" si="1"/>
        <v>32.700421940928273</v>
      </c>
      <c r="I17" s="22">
        <f t="shared" si="0"/>
        <v>7.5121951219512191</v>
      </c>
      <c r="J17" s="4"/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9"/>
      <c r="C18" s="24" t="s">
        <v>18</v>
      </c>
      <c r="D18" s="24"/>
      <c r="E18" s="24"/>
      <c r="F18" s="24"/>
      <c r="G18" s="24"/>
      <c r="H18" s="25"/>
      <c r="I18" s="26"/>
      <c r="J18" s="4"/>
      <c r="K18" s="1" t="s">
        <v>14</v>
      </c>
      <c r="L18" s="11">
        <v>50</v>
      </c>
      <c r="M18" s="1" t="s">
        <v>14</v>
      </c>
      <c r="N18" s="11">
        <v>51.804878048780488</v>
      </c>
      <c r="O18" s="1" t="s">
        <v>14</v>
      </c>
      <c r="P18" s="11">
        <v>50.341463414634148</v>
      </c>
    </row>
    <row r="19" spans="2:16" x14ac:dyDescent="0.3">
      <c r="B19" s="43" t="s">
        <v>22</v>
      </c>
      <c r="C19" s="1" t="s">
        <v>15</v>
      </c>
      <c r="D19" s="1">
        <v>382</v>
      </c>
      <c r="E19" s="1">
        <v>142</v>
      </c>
      <c r="F19" s="1">
        <v>240</v>
      </c>
      <c r="G19" s="1">
        <v>643</v>
      </c>
      <c r="H19" s="19">
        <f t="shared" si="1"/>
        <v>37.172774869109951</v>
      </c>
      <c r="I19" s="23">
        <f>(G19/$D$29)*100</f>
        <v>62.731707317073173</v>
      </c>
      <c r="J19" s="4"/>
      <c r="K19" s="1" t="s">
        <v>19</v>
      </c>
      <c r="L19" s="11">
        <v>45.436507936507937</v>
      </c>
      <c r="M19" s="1" t="s">
        <v>19</v>
      </c>
      <c r="N19" s="11">
        <v>46.048780487804883</v>
      </c>
      <c r="O19" s="1" t="s">
        <v>19</v>
      </c>
      <c r="P19" s="11">
        <v>45.329400196656835</v>
      </c>
    </row>
    <row r="20" spans="2:16" x14ac:dyDescent="0.3">
      <c r="B20" s="43"/>
      <c r="C20" s="1" t="s">
        <v>16</v>
      </c>
      <c r="D20" s="1">
        <v>978</v>
      </c>
      <c r="E20" s="1">
        <v>450</v>
      </c>
      <c r="F20" s="1">
        <v>528</v>
      </c>
      <c r="G20" s="1">
        <v>47</v>
      </c>
      <c r="H20" s="19">
        <f t="shared" si="1"/>
        <v>46.012269938650306</v>
      </c>
      <c r="I20" s="23">
        <f>(G20/$D$29)*100</f>
        <v>4.5853658536585362</v>
      </c>
      <c r="J20" s="4"/>
      <c r="K20" s="1" t="s">
        <v>17</v>
      </c>
      <c r="L20" s="11">
        <v>37.79220779220779</v>
      </c>
      <c r="M20" s="1" t="s">
        <v>22</v>
      </c>
      <c r="N20" s="11">
        <v>46.012269938650306</v>
      </c>
      <c r="O20" s="1" t="s">
        <v>17</v>
      </c>
      <c r="P20" s="11">
        <v>44.662095984329085</v>
      </c>
    </row>
    <row r="21" spans="2:16" x14ac:dyDescent="0.3">
      <c r="B21" s="43"/>
      <c r="C21" s="1" t="s">
        <v>18</v>
      </c>
      <c r="D21" s="1">
        <v>254</v>
      </c>
      <c r="E21" s="1">
        <v>80</v>
      </c>
      <c r="F21" s="1">
        <v>174</v>
      </c>
      <c r="G21" s="1">
        <v>771</v>
      </c>
      <c r="H21" s="19">
        <f t="shared" si="1"/>
        <v>31.496062992125985</v>
      </c>
      <c r="I21" s="23">
        <f>(G21/$D$29)*100</f>
        <v>75.219512195121951</v>
      </c>
      <c r="J21" s="4"/>
      <c r="K21" s="1" t="s">
        <v>22</v>
      </c>
      <c r="L21" s="11">
        <v>31.496062992125985</v>
      </c>
      <c r="M21" s="1" t="s">
        <v>23</v>
      </c>
      <c r="N21" s="11">
        <v>45.69471624266145</v>
      </c>
      <c r="O21" s="1" t="s">
        <v>22</v>
      </c>
      <c r="P21" s="11">
        <v>37.172774869109951</v>
      </c>
    </row>
    <row r="22" spans="2:16" x14ac:dyDescent="0.3">
      <c r="B22" s="50" t="s">
        <v>23</v>
      </c>
      <c r="C22" s="3" t="s">
        <v>15</v>
      </c>
      <c r="D22" s="3">
        <v>223</v>
      </c>
      <c r="E22" s="3">
        <v>50</v>
      </c>
      <c r="F22" s="3">
        <v>173</v>
      </c>
      <c r="G22" s="3">
        <v>802</v>
      </c>
      <c r="H22" s="18">
        <f t="shared" si="1"/>
        <v>22.421524663677133</v>
      </c>
      <c r="I22" s="22">
        <f>(G22/$D$29)*100</f>
        <v>78.243902439024396</v>
      </c>
      <c r="J22" s="4"/>
      <c r="K22" s="1" t="s">
        <v>20</v>
      </c>
      <c r="L22" s="11">
        <v>29.565217391304348</v>
      </c>
      <c r="M22" s="1" t="s">
        <v>17</v>
      </c>
      <c r="N22" s="11">
        <v>44.773175542406314</v>
      </c>
      <c r="O22" s="1" t="s">
        <v>21</v>
      </c>
      <c r="P22" s="11">
        <v>30.48180924287119</v>
      </c>
    </row>
    <row r="23" spans="2:16" x14ac:dyDescent="0.3">
      <c r="B23" s="51"/>
      <c r="C23" s="3" t="s">
        <v>16</v>
      </c>
      <c r="D23" s="5">
        <v>1022</v>
      </c>
      <c r="E23" s="5">
        <v>467</v>
      </c>
      <c r="F23" s="5">
        <v>555</v>
      </c>
      <c r="G23" s="5">
        <v>3</v>
      </c>
      <c r="H23" s="18">
        <f t="shared" si="1"/>
        <v>45.69471624266145</v>
      </c>
      <c r="I23" s="22">
        <f>(G23/$D$29)*100</f>
        <v>0.29268292682926828</v>
      </c>
      <c r="J23" s="4"/>
      <c r="M23" s="1" t="s">
        <v>21</v>
      </c>
      <c r="N23" s="11">
        <v>32.700421940928273</v>
      </c>
      <c r="O23" s="1" t="s">
        <v>20</v>
      </c>
      <c r="P23" s="11">
        <v>24.281150159744406</v>
      </c>
    </row>
    <row r="24" spans="2:16" x14ac:dyDescent="0.3">
      <c r="B24" s="51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20</v>
      </c>
      <c r="N24" s="11">
        <v>24.040404040404042</v>
      </c>
      <c r="O24" s="1" t="s">
        <v>23</v>
      </c>
      <c r="P24" s="11">
        <v>22.421524663677133</v>
      </c>
    </row>
    <row r="25" spans="2:16" x14ac:dyDescent="0.3">
      <c r="J25" s="4"/>
    </row>
    <row r="26" spans="2:16" x14ac:dyDescent="0.3">
      <c r="J26" s="4"/>
    </row>
    <row r="27" spans="2:16" x14ac:dyDescent="0.3">
      <c r="B27" s="41" t="s">
        <v>27</v>
      </c>
      <c r="C27" s="41"/>
      <c r="D27" s="41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1025</v>
      </c>
      <c r="D29" s="12">
        <v>1025</v>
      </c>
    </row>
    <row r="30" spans="2:16" x14ac:dyDescent="0.3">
      <c r="B30" s="15" t="s">
        <v>32</v>
      </c>
      <c r="C30" s="12">
        <v>0</v>
      </c>
      <c r="D30" s="12"/>
    </row>
    <row r="31" spans="2:16" x14ac:dyDescent="0.3">
      <c r="B31" s="15" t="s">
        <v>33</v>
      </c>
      <c r="C31" s="12">
        <f>SUM(C29:C30)</f>
        <v>1025</v>
      </c>
      <c r="D31" s="12">
        <f t="shared" ref="D31" si="2">SUM(D29:D30)</f>
        <v>1025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5936-F454-477A-A69F-0158758565C9}">
  <sheetPr>
    <tabColor theme="8" tint="0.59999389629810485"/>
  </sheetPr>
  <dimension ref="B2:P31"/>
  <sheetViews>
    <sheetView zoomScale="58" workbookViewId="0">
      <selection activeCell="H19" activeCellId="1" sqref="H4:H17 H19:H23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7" t="s">
        <v>34</v>
      </c>
      <c r="C2" s="38"/>
      <c r="D2" s="38"/>
      <c r="E2" s="38"/>
      <c r="F2" s="38"/>
      <c r="G2" s="38"/>
      <c r="H2" s="38"/>
      <c r="I2" s="38"/>
      <c r="K2" s="42" t="s">
        <v>1</v>
      </c>
      <c r="L2" s="42"/>
      <c r="M2" s="42"/>
      <c r="N2" s="42"/>
      <c r="O2" s="42"/>
      <c r="P2" s="42"/>
    </row>
    <row r="3" spans="2:16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43" t="s">
        <v>14</v>
      </c>
      <c r="C4" s="3" t="s">
        <v>15</v>
      </c>
      <c r="D4" s="3">
        <v>1025</v>
      </c>
      <c r="E4" s="3">
        <v>490</v>
      </c>
      <c r="F4" s="3">
        <v>535</v>
      </c>
      <c r="G4" s="3">
        <v>0</v>
      </c>
      <c r="H4" s="18">
        <f>(E4/D4)*100</f>
        <v>47.804878048780488</v>
      </c>
      <c r="I4" s="22">
        <f t="shared" ref="I4:I17" si="0">(G4/$D$29)*100</f>
        <v>0</v>
      </c>
      <c r="J4" s="4"/>
      <c r="K4" s="14" t="s">
        <v>14</v>
      </c>
      <c r="L4" s="7">
        <f>H5-H6</f>
        <v>4.3228574182974953</v>
      </c>
      <c r="M4" s="8"/>
      <c r="N4" s="7">
        <f>H4-H5</f>
        <v>-0.292682926829265</v>
      </c>
      <c r="O4" s="8"/>
      <c r="P4" s="7">
        <f>H4-H6</f>
        <v>4.0301744914682303</v>
      </c>
    </row>
    <row r="5" spans="2:16" x14ac:dyDescent="0.3">
      <c r="B5" s="43"/>
      <c r="C5" s="3" t="s">
        <v>16</v>
      </c>
      <c r="D5" s="3">
        <v>1025</v>
      </c>
      <c r="E5" s="3">
        <v>493</v>
      </c>
      <c r="F5" s="3">
        <v>532</v>
      </c>
      <c r="G5" s="3">
        <v>0</v>
      </c>
      <c r="H5" s="18">
        <f t="shared" ref="H5:H23" si="1">(E5/D5)*100</f>
        <v>48.097560975609753</v>
      </c>
      <c r="I5" s="22">
        <f t="shared" si="0"/>
        <v>0</v>
      </c>
      <c r="J5" s="4"/>
      <c r="K5" s="14" t="s">
        <v>17</v>
      </c>
      <c r="L5" s="7">
        <f>H8-H9</f>
        <v>12.619833952570986</v>
      </c>
      <c r="M5" s="8"/>
      <c r="N5" s="7">
        <f>H7-H8</f>
        <v>-1.1845887776408901</v>
      </c>
      <c r="O5" s="8"/>
      <c r="P5" s="7">
        <f>H7-H9</f>
        <v>11.435245174930095</v>
      </c>
    </row>
    <row r="6" spans="2:16" x14ac:dyDescent="0.3">
      <c r="B6" s="43"/>
      <c r="C6" s="3" t="s">
        <v>18</v>
      </c>
      <c r="D6" s="3">
        <v>1012</v>
      </c>
      <c r="E6" s="3">
        <v>443</v>
      </c>
      <c r="F6" s="3">
        <v>569</v>
      </c>
      <c r="G6" s="3">
        <v>13</v>
      </c>
      <c r="H6" s="18">
        <f t="shared" si="1"/>
        <v>43.774703557312257</v>
      </c>
      <c r="I6" s="22">
        <f t="shared" si="0"/>
        <v>1.2682926829268293</v>
      </c>
      <c r="J6" s="4"/>
      <c r="K6" s="14" t="s">
        <v>19</v>
      </c>
      <c r="L6" s="7">
        <f>H11-H12</f>
        <v>4.3539608949807018E-2</v>
      </c>
      <c r="M6" s="8"/>
      <c r="N6" s="7">
        <f>H10-H11</f>
        <v>0.39024390243902474</v>
      </c>
      <c r="O6" s="8"/>
      <c r="P6" s="7">
        <f>H10-H12</f>
        <v>0.43378351138883176</v>
      </c>
    </row>
    <row r="7" spans="2:16" x14ac:dyDescent="0.3">
      <c r="B7" s="43" t="s">
        <v>17</v>
      </c>
      <c r="C7" s="1" t="s">
        <v>15</v>
      </c>
      <c r="D7" s="1">
        <v>1023</v>
      </c>
      <c r="E7" s="1">
        <v>456</v>
      </c>
      <c r="F7" s="1">
        <v>567</v>
      </c>
      <c r="G7" s="1">
        <v>2</v>
      </c>
      <c r="H7" s="19">
        <f t="shared" si="1"/>
        <v>44.574780058651022</v>
      </c>
      <c r="I7" s="23">
        <f t="shared" si="0"/>
        <v>0.1951219512195122</v>
      </c>
      <c r="J7" s="4"/>
      <c r="K7" s="14" t="s">
        <v>20</v>
      </c>
      <c r="L7" s="7">
        <f>H14-H15</f>
        <v>3.2953708251473479</v>
      </c>
      <c r="M7" s="8"/>
      <c r="N7" s="7">
        <f>H13-H14</f>
        <v>-1.7023191491696963</v>
      </c>
      <c r="O7" s="8"/>
      <c r="P7" s="7">
        <f>H13-H15</f>
        <v>1.5930516759776516</v>
      </c>
    </row>
    <row r="8" spans="2:16" x14ac:dyDescent="0.3">
      <c r="B8" s="43"/>
      <c r="C8" s="1" t="s">
        <v>16</v>
      </c>
      <c r="D8" s="1">
        <v>1014</v>
      </c>
      <c r="E8" s="1">
        <v>464</v>
      </c>
      <c r="F8" s="1">
        <v>550</v>
      </c>
      <c r="G8" s="1">
        <v>11</v>
      </c>
      <c r="H8" s="19">
        <f t="shared" si="1"/>
        <v>45.759368836291912</v>
      </c>
      <c r="I8" s="23">
        <f t="shared" si="0"/>
        <v>1.0731707317073171</v>
      </c>
      <c r="J8" s="4"/>
      <c r="K8" s="14" t="s">
        <v>21</v>
      </c>
      <c r="L8" s="9"/>
      <c r="M8" s="7">
        <f>H17-H14</f>
        <v>2.3954603931267648</v>
      </c>
      <c r="N8" s="7">
        <f>H16-H17</f>
        <v>-1.2852572261403878</v>
      </c>
      <c r="O8" s="7">
        <f>H16-H13</f>
        <v>2.8125223161560733</v>
      </c>
      <c r="P8" s="7">
        <f>H16-H15</f>
        <v>4.4055739921337249</v>
      </c>
    </row>
    <row r="9" spans="2:16" x14ac:dyDescent="0.3">
      <c r="B9" s="43"/>
      <c r="C9" s="1" t="s">
        <v>18</v>
      </c>
      <c r="D9" s="1">
        <v>688</v>
      </c>
      <c r="E9" s="1">
        <v>228</v>
      </c>
      <c r="F9" s="1">
        <v>460</v>
      </c>
      <c r="G9" s="1">
        <v>337</v>
      </c>
      <c r="H9" s="19">
        <f t="shared" si="1"/>
        <v>33.139534883720927</v>
      </c>
      <c r="I9" s="23">
        <f t="shared" si="0"/>
        <v>32.878048780487809</v>
      </c>
      <c r="J9" s="4"/>
      <c r="K9" s="14" t="s">
        <v>22</v>
      </c>
      <c r="L9" s="7">
        <f>H20-H21</f>
        <v>18.34287599885845</v>
      </c>
      <c r="M9" s="8"/>
      <c r="N9" s="7">
        <f>H19-H20</f>
        <v>-11.979104186660265</v>
      </c>
      <c r="O9" s="8"/>
      <c r="P9" s="7">
        <f>H19-H21</f>
        <v>6.3637718121981841</v>
      </c>
    </row>
    <row r="10" spans="2:16" x14ac:dyDescent="0.3">
      <c r="B10" s="43" t="s">
        <v>19</v>
      </c>
      <c r="C10" s="3" t="s">
        <v>15</v>
      </c>
      <c r="D10" s="3">
        <v>1025</v>
      </c>
      <c r="E10" s="3">
        <v>428</v>
      </c>
      <c r="F10" s="3">
        <v>597</v>
      </c>
      <c r="G10" s="3">
        <v>0</v>
      </c>
      <c r="H10" s="18">
        <f t="shared" si="1"/>
        <v>41.756097560975611</v>
      </c>
      <c r="I10" s="22">
        <f t="shared" si="0"/>
        <v>0</v>
      </c>
      <c r="J10" s="4"/>
      <c r="K10" s="14" t="s">
        <v>23</v>
      </c>
      <c r="L10" s="9"/>
      <c r="M10" s="7">
        <f>H23-H20</f>
        <v>-1.7984946646341484</v>
      </c>
      <c r="N10" s="7">
        <f>H22-H23</f>
        <v>-11.266379722620755</v>
      </c>
      <c r="O10" s="7">
        <f>H22-H20</f>
        <v>-13.064874387254903</v>
      </c>
      <c r="P10" s="7">
        <f>H22-H21</f>
        <v>5.2780016116035462</v>
      </c>
    </row>
    <row r="11" spans="2:16" x14ac:dyDescent="0.3">
      <c r="B11" s="43"/>
      <c r="C11" s="3" t="s">
        <v>16</v>
      </c>
      <c r="D11" s="3">
        <v>1025</v>
      </c>
      <c r="E11" s="3">
        <v>424</v>
      </c>
      <c r="F11" s="3">
        <v>601</v>
      </c>
      <c r="G11" s="3">
        <v>0</v>
      </c>
      <c r="H11" s="18">
        <f t="shared" si="1"/>
        <v>41.365853658536587</v>
      </c>
      <c r="I11" s="22">
        <f t="shared" si="0"/>
        <v>0</v>
      </c>
      <c r="J11" s="4"/>
    </row>
    <row r="12" spans="2:16" x14ac:dyDescent="0.3">
      <c r="B12" s="43"/>
      <c r="C12" s="3" t="s">
        <v>18</v>
      </c>
      <c r="D12" s="3">
        <v>968</v>
      </c>
      <c r="E12" s="3">
        <v>400</v>
      </c>
      <c r="F12" s="3">
        <v>568</v>
      </c>
      <c r="G12" s="3">
        <v>57</v>
      </c>
      <c r="H12" s="18">
        <f t="shared" si="1"/>
        <v>41.32231404958678</v>
      </c>
      <c r="I12" s="22">
        <f t="shared" si="0"/>
        <v>5.5609756097560981</v>
      </c>
      <c r="J12" s="4"/>
    </row>
    <row r="13" spans="2:16" x14ac:dyDescent="0.3">
      <c r="B13" s="43" t="s">
        <v>20</v>
      </c>
      <c r="C13" s="1" t="s">
        <v>15</v>
      </c>
      <c r="D13" s="1">
        <v>358</v>
      </c>
      <c r="E13" s="1">
        <v>98</v>
      </c>
      <c r="F13" s="1">
        <v>260</v>
      </c>
      <c r="G13" s="1">
        <v>667</v>
      </c>
      <c r="H13" s="19">
        <f t="shared" si="1"/>
        <v>27.374301675977652</v>
      </c>
      <c r="I13" s="23">
        <f t="shared" si="0"/>
        <v>65.073170731707322</v>
      </c>
      <c r="J13" s="4"/>
    </row>
    <row r="14" spans="2:16" x14ac:dyDescent="0.3">
      <c r="B14" s="43"/>
      <c r="C14" s="1" t="s">
        <v>16</v>
      </c>
      <c r="D14" s="1">
        <v>509</v>
      </c>
      <c r="E14" s="1">
        <v>148</v>
      </c>
      <c r="F14" s="1">
        <v>361</v>
      </c>
      <c r="G14" s="1">
        <v>516</v>
      </c>
      <c r="H14" s="19">
        <f t="shared" si="1"/>
        <v>29.076620825147348</v>
      </c>
      <c r="I14" s="23">
        <f t="shared" si="0"/>
        <v>50.341463414634148</v>
      </c>
      <c r="J14" s="4"/>
    </row>
    <row r="15" spans="2:16" x14ac:dyDescent="0.3">
      <c r="B15" s="43"/>
      <c r="C15" s="1" t="s">
        <v>18</v>
      </c>
      <c r="D15" s="1">
        <v>128</v>
      </c>
      <c r="E15" s="1">
        <v>33</v>
      </c>
      <c r="F15" s="1">
        <v>95</v>
      </c>
      <c r="G15" s="1">
        <v>897</v>
      </c>
      <c r="H15" s="19">
        <f t="shared" si="1"/>
        <v>25.78125</v>
      </c>
      <c r="I15" s="23">
        <f t="shared" si="0"/>
        <v>87.512195121951223</v>
      </c>
      <c r="J15" s="4"/>
      <c r="K15" s="44" t="s">
        <v>24</v>
      </c>
      <c r="L15" s="45"/>
      <c r="M15" s="45"/>
      <c r="N15" s="45"/>
      <c r="O15" s="45"/>
      <c r="P15" s="46"/>
    </row>
    <row r="16" spans="2:16" x14ac:dyDescent="0.3">
      <c r="B16" s="47" t="s">
        <v>21</v>
      </c>
      <c r="C16" s="3" t="s">
        <v>15</v>
      </c>
      <c r="D16" s="3">
        <v>1017</v>
      </c>
      <c r="E16" s="3">
        <v>307</v>
      </c>
      <c r="F16" s="3">
        <v>710</v>
      </c>
      <c r="G16" s="3">
        <v>8</v>
      </c>
      <c r="H16" s="18">
        <f t="shared" si="1"/>
        <v>30.186823992133725</v>
      </c>
      <c r="I16" s="22">
        <f t="shared" si="0"/>
        <v>0.78048780487804881</v>
      </c>
      <c r="J16" s="4"/>
      <c r="K16" s="52" t="s">
        <v>25</v>
      </c>
      <c r="L16" s="53"/>
      <c r="M16" s="52" t="s">
        <v>16</v>
      </c>
      <c r="N16" s="53"/>
      <c r="O16" s="52" t="s">
        <v>15</v>
      </c>
      <c r="P16" s="53"/>
    </row>
    <row r="17" spans="2:16" x14ac:dyDescent="0.3">
      <c r="B17" s="48"/>
      <c r="C17" s="3" t="s">
        <v>16</v>
      </c>
      <c r="D17" s="3">
        <v>985</v>
      </c>
      <c r="E17" s="3">
        <v>310</v>
      </c>
      <c r="F17" s="3">
        <v>675</v>
      </c>
      <c r="G17" s="3">
        <v>40</v>
      </c>
      <c r="H17" s="18">
        <f t="shared" si="1"/>
        <v>31.472081218274113</v>
      </c>
      <c r="I17" s="22">
        <f t="shared" si="0"/>
        <v>3.9024390243902438</v>
      </c>
      <c r="J17" s="4"/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9"/>
      <c r="C18" s="24" t="s">
        <v>18</v>
      </c>
      <c r="D18" s="24"/>
      <c r="E18" s="24"/>
      <c r="F18" s="24"/>
      <c r="G18" s="24"/>
      <c r="H18" s="25"/>
      <c r="I18" s="26"/>
      <c r="J18" s="4"/>
      <c r="K18" s="1" t="s">
        <v>14</v>
      </c>
      <c r="L18" s="11">
        <v>43.774703557312257</v>
      </c>
      <c r="M18" s="1" t="s">
        <v>14</v>
      </c>
      <c r="N18" s="11">
        <v>48.097560975609753</v>
      </c>
      <c r="O18" s="1" t="s">
        <v>14</v>
      </c>
      <c r="P18" s="11">
        <v>47.804878048780488</v>
      </c>
    </row>
    <row r="19" spans="2:16" x14ac:dyDescent="0.3">
      <c r="B19" s="43" t="s">
        <v>22</v>
      </c>
      <c r="C19" s="1" t="s">
        <v>15</v>
      </c>
      <c r="D19" s="1">
        <v>521</v>
      </c>
      <c r="E19" s="1">
        <v>164</v>
      </c>
      <c r="F19" s="1">
        <v>357</v>
      </c>
      <c r="G19" s="1">
        <v>504</v>
      </c>
      <c r="H19" s="19">
        <f t="shared" si="1"/>
        <v>31.477927063339735</v>
      </c>
      <c r="I19" s="23">
        <f>(G19/$D$29)*100</f>
        <v>49.170731707317074</v>
      </c>
      <c r="J19" s="4"/>
      <c r="K19" s="1" t="s">
        <v>19</v>
      </c>
      <c r="L19" s="11">
        <v>41.32231404958678</v>
      </c>
      <c r="M19" s="1" t="s">
        <v>17</v>
      </c>
      <c r="N19" s="11">
        <v>45.759368836291912</v>
      </c>
      <c r="O19" s="1" t="s">
        <v>17</v>
      </c>
      <c r="P19" s="11">
        <v>44.574780058651022</v>
      </c>
    </row>
    <row r="20" spans="2:16" x14ac:dyDescent="0.3">
      <c r="B20" s="43"/>
      <c r="C20" s="1" t="s">
        <v>16</v>
      </c>
      <c r="D20" s="1">
        <v>1024</v>
      </c>
      <c r="E20" s="1">
        <v>445</v>
      </c>
      <c r="F20" s="1">
        <v>579</v>
      </c>
      <c r="G20" s="1">
        <v>1</v>
      </c>
      <c r="H20" s="19">
        <f t="shared" si="1"/>
        <v>43.45703125</v>
      </c>
      <c r="I20" s="23">
        <f>(G20/$D$29)*100</f>
        <v>9.7560975609756101E-2</v>
      </c>
      <c r="J20" s="4"/>
      <c r="K20" s="1" t="s">
        <v>17</v>
      </c>
      <c r="L20" s="11">
        <v>33.139534883720927</v>
      </c>
      <c r="M20" s="1" t="s">
        <v>22</v>
      </c>
      <c r="N20" s="11">
        <v>43.45703125</v>
      </c>
      <c r="O20" s="1" t="s">
        <v>19</v>
      </c>
      <c r="P20" s="11">
        <v>41.756097560975611</v>
      </c>
    </row>
    <row r="21" spans="2:16" x14ac:dyDescent="0.3">
      <c r="B21" s="43"/>
      <c r="C21" s="1" t="s">
        <v>18</v>
      </c>
      <c r="D21" s="1">
        <v>219</v>
      </c>
      <c r="E21" s="1">
        <v>55</v>
      </c>
      <c r="F21" s="1">
        <v>164</v>
      </c>
      <c r="G21" s="1">
        <v>806</v>
      </c>
      <c r="H21" s="19">
        <f t="shared" si="1"/>
        <v>25.11415525114155</v>
      </c>
      <c r="I21" s="23">
        <f>(G21/$D$29)*100</f>
        <v>78.634146341463421</v>
      </c>
      <c r="J21" s="4"/>
      <c r="K21" s="1" t="s">
        <v>20</v>
      </c>
      <c r="L21" s="11">
        <v>25.78125</v>
      </c>
      <c r="M21" s="1" t="s">
        <v>23</v>
      </c>
      <c r="N21" s="11">
        <v>41.658536585365852</v>
      </c>
      <c r="O21" s="1" t="s">
        <v>22</v>
      </c>
      <c r="P21" s="11">
        <v>31.477927063339735</v>
      </c>
    </row>
    <row r="22" spans="2:16" x14ac:dyDescent="0.3">
      <c r="B22" s="50" t="s">
        <v>23</v>
      </c>
      <c r="C22" s="3" t="s">
        <v>15</v>
      </c>
      <c r="D22" s="3">
        <v>204</v>
      </c>
      <c r="E22" s="3">
        <v>62</v>
      </c>
      <c r="F22" s="3">
        <v>142</v>
      </c>
      <c r="G22" s="3">
        <v>821</v>
      </c>
      <c r="H22" s="18">
        <f t="shared" si="1"/>
        <v>30.392156862745097</v>
      </c>
      <c r="I22" s="22">
        <f>(G22/$D$29)*100</f>
        <v>80.097560975609767</v>
      </c>
      <c r="J22" s="4"/>
      <c r="K22" s="1" t="s">
        <v>22</v>
      </c>
      <c r="L22" s="11">
        <v>25.11415525114155</v>
      </c>
      <c r="M22" s="1" t="s">
        <v>19</v>
      </c>
      <c r="N22" s="11">
        <v>41.365853658536587</v>
      </c>
      <c r="O22" s="1" t="s">
        <v>23</v>
      </c>
      <c r="P22" s="11">
        <v>30.392156862745097</v>
      </c>
    </row>
    <row r="23" spans="2:16" x14ac:dyDescent="0.3">
      <c r="B23" s="51"/>
      <c r="C23" s="3" t="s">
        <v>16</v>
      </c>
      <c r="D23" s="5">
        <v>1025</v>
      </c>
      <c r="E23" s="5">
        <v>427</v>
      </c>
      <c r="F23" s="5">
        <v>598</v>
      </c>
      <c r="G23" s="5">
        <v>0</v>
      </c>
      <c r="H23" s="18">
        <f t="shared" si="1"/>
        <v>41.658536585365852</v>
      </c>
      <c r="I23" s="22">
        <f>(G23/$D$29)*100</f>
        <v>0</v>
      </c>
      <c r="J23" s="4"/>
      <c r="M23" s="1" t="s">
        <v>21</v>
      </c>
      <c r="N23" s="11">
        <v>31.472081218274113</v>
      </c>
      <c r="O23" s="1" t="s">
        <v>21</v>
      </c>
      <c r="P23" s="11">
        <v>30.186823992133725</v>
      </c>
    </row>
    <row r="24" spans="2:16" x14ac:dyDescent="0.3">
      <c r="B24" s="51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20</v>
      </c>
      <c r="N24" s="11">
        <v>29.076620825147348</v>
      </c>
      <c r="O24" s="1" t="s">
        <v>20</v>
      </c>
      <c r="P24" s="11">
        <v>27.374301675977652</v>
      </c>
    </row>
    <row r="25" spans="2:16" x14ac:dyDescent="0.3">
      <c r="J25" s="4"/>
    </row>
    <row r="26" spans="2:16" x14ac:dyDescent="0.3">
      <c r="J26" s="4"/>
    </row>
    <row r="27" spans="2:16" x14ac:dyDescent="0.3">
      <c r="B27" s="41" t="s">
        <v>27</v>
      </c>
      <c r="C27" s="41"/>
      <c r="D27" s="41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1025</v>
      </c>
      <c r="D29" s="12">
        <v>1025</v>
      </c>
    </row>
    <row r="30" spans="2:16" x14ac:dyDescent="0.3">
      <c r="B30" s="15" t="s">
        <v>32</v>
      </c>
      <c r="C30" s="12">
        <v>0</v>
      </c>
      <c r="D30" s="12"/>
    </row>
    <row r="31" spans="2:16" x14ac:dyDescent="0.3">
      <c r="B31" s="15" t="s">
        <v>33</v>
      </c>
      <c r="C31" s="12">
        <f>SUM(C29:C30)</f>
        <v>1025</v>
      </c>
      <c r="D31" s="12">
        <f t="shared" ref="D31" si="2">SUM(D29:D30)</f>
        <v>1025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2F29-19C2-43B2-9246-72AC7E4A6649}">
  <sheetPr>
    <tabColor theme="8" tint="0.59999389629810485"/>
  </sheetPr>
  <dimension ref="B2:P31"/>
  <sheetViews>
    <sheetView zoomScale="61" workbookViewId="0">
      <selection activeCell="H19" sqref="H19:H21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7" t="s">
        <v>34</v>
      </c>
      <c r="C2" s="38"/>
      <c r="D2" s="38"/>
      <c r="E2" s="38"/>
      <c r="F2" s="38"/>
      <c r="G2" s="38"/>
      <c r="H2" s="38"/>
      <c r="I2" s="38"/>
      <c r="K2" s="42" t="s">
        <v>1</v>
      </c>
      <c r="L2" s="42"/>
      <c r="M2" s="42"/>
      <c r="N2" s="42"/>
      <c r="O2" s="42"/>
      <c r="P2" s="42"/>
    </row>
    <row r="3" spans="2:16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43" t="s">
        <v>14</v>
      </c>
      <c r="C4" s="3" t="s">
        <v>15</v>
      </c>
      <c r="D4" s="3">
        <v>1019</v>
      </c>
      <c r="E4" s="3">
        <v>363</v>
      </c>
      <c r="F4" s="3">
        <v>656</v>
      </c>
      <c r="G4" s="3">
        <v>6</v>
      </c>
      <c r="H4" s="18">
        <f>(E4/D4)*100</f>
        <v>35.623159960745831</v>
      </c>
      <c r="I4" s="22">
        <f t="shared" ref="I4:I17" si="0">(G4/$D$29)*100</f>
        <v>0.58536585365853655</v>
      </c>
      <c r="J4" s="4"/>
      <c r="K4" s="14" t="s">
        <v>14</v>
      </c>
      <c r="L4" s="7">
        <f>H5-H6</f>
        <v>2.0905441085583476</v>
      </c>
      <c r="M4" s="8"/>
      <c r="N4" s="7">
        <f>H4-H5</f>
        <v>0.75538327122575311</v>
      </c>
      <c r="O4" s="8"/>
      <c r="P4" s="7">
        <f>H4-H6</f>
        <v>2.8459273797841007</v>
      </c>
    </row>
    <row r="5" spans="2:16" x14ac:dyDescent="0.3">
      <c r="B5" s="43"/>
      <c r="C5" s="3" t="s">
        <v>16</v>
      </c>
      <c r="D5" s="3">
        <v>1021</v>
      </c>
      <c r="E5" s="3">
        <v>356</v>
      </c>
      <c r="F5" s="3">
        <v>665</v>
      </c>
      <c r="G5" s="3">
        <v>4</v>
      </c>
      <c r="H5" s="18">
        <f t="shared" ref="H5:H23" si="1">(E5/D5)*100</f>
        <v>34.867776689520078</v>
      </c>
      <c r="I5" s="22">
        <f t="shared" si="0"/>
        <v>0.3902439024390244</v>
      </c>
      <c r="J5" s="4"/>
      <c r="K5" s="14" t="s">
        <v>17</v>
      </c>
      <c r="L5" s="7">
        <f>H8-H9</f>
        <v>2.3446254003693348</v>
      </c>
      <c r="M5" s="8"/>
      <c r="N5" s="7">
        <f>H7-H8</f>
        <v>0.85759322200876653</v>
      </c>
      <c r="O5" s="8"/>
      <c r="P5" s="7">
        <f>H7-H9</f>
        <v>3.2022186223781013</v>
      </c>
    </row>
    <row r="6" spans="2:16" x14ac:dyDescent="0.3">
      <c r="B6" s="43"/>
      <c r="C6" s="3" t="s">
        <v>18</v>
      </c>
      <c r="D6" s="3">
        <v>1019</v>
      </c>
      <c r="E6" s="3">
        <v>334</v>
      </c>
      <c r="F6" s="3">
        <v>685</v>
      </c>
      <c r="G6" s="3">
        <v>6</v>
      </c>
      <c r="H6" s="18">
        <f t="shared" si="1"/>
        <v>32.77723258096173</v>
      </c>
      <c r="I6" s="22">
        <f t="shared" si="0"/>
        <v>0.58536585365853655</v>
      </c>
      <c r="J6" s="4"/>
      <c r="K6" s="14" t="s">
        <v>19</v>
      </c>
      <c r="L6" s="7">
        <f>H11-H12</f>
        <v>2.44379276637342</v>
      </c>
      <c r="M6" s="8"/>
      <c r="N6" s="7">
        <f>H10-H11</f>
        <v>-0.60678541834402466</v>
      </c>
      <c r="O6" s="8"/>
      <c r="P6" s="7">
        <f>H10-H12</f>
        <v>1.8370073480293954</v>
      </c>
    </row>
    <row r="7" spans="2:16" x14ac:dyDescent="0.3">
      <c r="B7" s="43" t="s">
        <v>17</v>
      </c>
      <c r="C7" s="1" t="s">
        <v>15</v>
      </c>
      <c r="D7" s="1">
        <v>1005</v>
      </c>
      <c r="E7" s="1">
        <v>334</v>
      </c>
      <c r="F7" s="1">
        <v>671</v>
      </c>
      <c r="G7" s="1">
        <v>20</v>
      </c>
      <c r="H7" s="19">
        <f t="shared" si="1"/>
        <v>33.233830845771145</v>
      </c>
      <c r="I7" s="23">
        <f t="shared" si="0"/>
        <v>1.9512195121951219</v>
      </c>
      <c r="J7" s="4"/>
      <c r="K7" s="14" t="s">
        <v>20</v>
      </c>
      <c r="L7" s="7">
        <f>H14-H15</f>
        <v>-1.3303332273132291</v>
      </c>
      <c r="M7" s="8"/>
      <c r="N7" s="7">
        <f>H13-H14</f>
        <v>3.0751916133032502</v>
      </c>
      <c r="O7" s="8"/>
      <c r="P7" s="7">
        <f>H13-H15</f>
        <v>1.7448583859900211</v>
      </c>
    </row>
    <row r="8" spans="2:16" x14ac:dyDescent="0.3">
      <c r="B8" s="43"/>
      <c r="C8" s="1" t="s">
        <v>16</v>
      </c>
      <c r="D8" s="1">
        <v>1010</v>
      </c>
      <c r="E8" s="1">
        <v>327</v>
      </c>
      <c r="F8" s="1">
        <v>683</v>
      </c>
      <c r="G8" s="1">
        <v>15</v>
      </c>
      <c r="H8" s="19">
        <f t="shared" si="1"/>
        <v>32.376237623762378</v>
      </c>
      <c r="I8" s="23">
        <f t="shared" si="0"/>
        <v>1.4634146341463417</v>
      </c>
      <c r="J8" s="4"/>
      <c r="K8" s="14" t="s">
        <v>21</v>
      </c>
      <c r="L8" s="9"/>
      <c r="M8" s="7">
        <f>H17-H14</f>
        <v>4.1269164001355705</v>
      </c>
      <c r="N8" s="7">
        <f>H16-H17</f>
        <v>-0.56051095023836339</v>
      </c>
      <c r="O8" s="7">
        <f>H16-H13</f>
        <v>0.4912138365939569</v>
      </c>
      <c r="P8" s="7">
        <f>H16-H15</f>
        <v>2.236072222583978</v>
      </c>
    </row>
    <row r="9" spans="2:16" x14ac:dyDescent="0.3">
      <c r="B9" s="43"/>
      <c r="C9" s="1" t="s">
        <v>18</v>
      </c>
      <c r="D9" s="1">
        <v>949</v>
      </c>
      <c r="E9" s="1">
        <v>285</v>
      </c>
      <c r="F9" s="1">
        <v>664</v>
      </c>
      <c r="G9" s="1">
        <v>76</v>
      </c>
      <c r="H9" s="19">
        <f t="shared" si="1"/>
        <v>30.031612223393044</v>
      </c>
      <c r="I9" s="23">
        <f t="shared" si="0"/>
        <v>7.4146341463414629</v>
      </c>
      <c r="J9" s="4"/>
      <c r="K9" s="14" t="s">
        <v>22</v>
      </c>
      <c r="L9" s="7">
        <f>H20-H21</f>
        <v>4.747943953700883</v>
      </c>
      <c r="M9" s="8"/>
      <c r="N9" s="7">
        <f>H19-H20</f>
        <v>-5.1300815232259112</v>
      </c>
      <c r="O9" s="8"/>
      <c r="P9" s="7">
        <f>H19-H21</f>
        <v>-0.3821375695250282</v>
      </c>
    </row>
    <row r="10" spans="2:16" x14ac:dyDescent="0.3">
      <c r="B10" s="43" t="s">
        <v>19</v>
      </c>
      <c r="C10" s="3" t="s">
        <v>15</v>
      </c>
      <c r="D10" s="3">
        <v>998</v>
      </c>
      <c r="E10" s="3">
        <v>351</v>
      </c>
      <c r="F10" s="3">
        <v>647</v>
      </c>
      <c r="G10" s="3">
        <v>27</v>
      </c>
      <c r="H10" s="18">
        <f t="shared" si="1"/>
        <v>35.170340681362724</v>
      </c>
      <c r="I10" s="22">
        <f t="shared" si="0"/>
        <v>2.6341463414634148</v>
      </c>
      <c r="J10" s="4"/>
      <c r="K10" s="14" t="s">
        <v>23</v>
      </c>
      <c r="L10" s="9"/>
      <c r="M10" s="7">
        <f>H23-H20</f>
        <v>0.39191232048375113</v>
      </c>
      <c r="N10" s="7">
        <f>H22-H23</f>
        <v>-6.3887929380157367</v>
      </c>
      <c r="O10" s="7">
        <f>H22-H20</f>
        <v>-5.9968806175319855</v>
      </c>
      <c r="P10" s="7">
        <f>H22-H21</f>
        <v>-1.2489366638311026</v>
      </c>
    </row>
    <row r="11" spans="2:16" x14ac:dyDescent="0.3">
      <c r="B11" s="43"/>
      <c r="C11" s="3" t="s">
        <v>16</v>
      </c>
      <c r="D11" s="3">
        <v>1023</v>
      </c>
      <c r="E11" s="3">
        <v>366</v>
      </c>
      <c r="F11" s="3">
        <v>657</v>
      </c>
      <c r="G11" s="3">
        <v>2</v>
      </c>
      <c r="H11" s="18">
        <f t="shared" si="1"/>
        <v>35.777126099706749</v>
      </c>
      <c r="I11" s="22">
        <f t="shared" si="0"/>
        <v>0.1951219512195122</v>
      </c>
      <c r="J11" s="4"/>
    </row>
    <row r="12" spans="2:16" x14ac:dyDescent="0.3">
      <c r="B12" s="43"/>
      <c r="C12" s="3" t="s">
        <v>18</v>
      </c>
      <c r="D12" s="3">
        <v>996</v>
      </c>
      <c r="E12" s="3">
        <v>332</v>
      </c>
      <c r="F12" s="3">
        <v>664</v>
      </c>
      <c r="G12" s="3">
        <v>29</v>
      </c>
      <c r="H12" s="18">
        <f t="shared" si="1"/>
        <v>33.333333333333329</v>
      </c>
      <c r="I12" s="22">
        <f t="shared" si="0"/>
        <v>2.8292682926829271</v>
      </c>
      <c r="J12" s="4"/>
    </row>
    <row r="13" spans="2:16" x14ac:dyDescent="0.3">
      <c r="B13" s="43" t="s">
        <v>20</v>
      </c>
      <c r="C13" s="1" t="s">
        <v>15</v>
      </c>
      <c r="D13" s="1">
        <v>562</v>
      </c>
      <c r="E13" s="1">
        <v>144</v>
      </c>
      <c r="F13" s="1">
        <v>418</v>
      </c>
      <c r="G13" s="1">
        <v>463</v>
      </c>
      <c r="H13" s="19">
        <f t="shared" si="1"/>
        <v>25.622775800711743</v>
      </c>
      <c r="I13" s="23">
        <f t="shared" si="0"/>
        <v>45.170731707317074</v>
      </c>
      <c r="J13" s="4"/>
    </row>
    <row r="14" spans="2:16" x14ac:dyDescent="0.3">
      <c r="B14" s="43"/>
      <c r="C14" s="1" t="s">
        <v>16</v>
      </c>
      <c r="D14" s="1">
        <v>683</v>
      </c>
      <c r="E14" s="1">
        <v>154</v>
      </c>
      <c r="F14" s="1">
        <v>529</v>
      </c>
      <c r="G14" s="1">
        <v>342</v>
      </c>
      <c r="H14" s="19">
        <f t="shared" si="1"/>
        <v>22.547584187408493</v>
      </c>
      <c r="I14" s="23">
        <f t="shared" si="0"/>
        <v>33.365853658536587</v>
      </c>
      <c r="J14" s="4"/>
    </row>
    <row r="15" spans="2:16" x14ac:dyDescent="0.3">
      <c r="B15" s="43"/>
      <c r="C15" s="1" t="s">
        <v>18</v>
      </c>
      <c r="D15" s="1">
        <v>557</v>
      </c>
      <c r="E15" s="1">
        <v>133</v>
      </c>
      <c r="F15" s="1">
        <v>424</v>
      </c>
      <c r="G15" s="1">
        <v>468</v>
      </c>
      <c r="H15" s="19">
        <f t="shared" si="1"/>
        <v>23.877917414721722</v>
      </c>
      <c r="I15" s="23">
        <f t="shared" si="0"/>
        <v>45.658536585365859</v>
      </c>
      <c r="J15" s="4"/>
      <c r="K15" s="44" t="s">
        <v>24</v>
      </c>
      <c r="L15" s="45"/>
      <c r="M15" s="45"/>
      <c r="N15" s="45"/>
      <c r="O15" s="45"/>
      <c r="P15" s="46"/>
    </row>
    <row r="16" spans="2:16" x14ac:dyDescent="0.3">
      <c r="B16" s="47" t="s">
        <v>21</v>
      </c>
      <c r="C16" s="3" t="s">
        <v>15</v>
      </c>
      <c r="D16" s="3">
        <v>965</v>
      </c>
      <c r="E16" s="3">
        <v>252</v>
      </c>
      <c r="F16" s="3">
        <v>713</v>
      </c>
      <c r="G16" s="3">
        <v>60</v>
      </c>
      <c r="H16" s="18">
        <f t="shared" si="1"/>
        <v>26.1139896373057</v>
      </c>
      <c r="I16" s="22">
        <f t="shared" si="0"/>
        <v>5.8536585365853666</v>
      </c>
      <c r="J16" s="4"/>
      <c r="K16" s="52" t="s">
        <v>25</v>
      </c>
      <c r="L16" s="53"/>
      <c r="M16" s="52" t="s">
        <v>16</v>
      </c>
      <c r="N16" s="53"/>
      <c r="O16" s="52" t="s">
        <v>15</v>
      </c>
      <c r="P16" s="53"/>
    </row>
    <row r="17" spans="2:16" x14ac:dyDescent="0.3">
      <c r="B17" s="48"/>
      <c r="C17" s="3" t="s">
        <v>16</v>
      </c>
      <c r="D17" s="3">
        <v>851</v>
      </c>
      <c r="E17" s="3">
        <v>227</v>
      </c>
      <c r="F17" s="3">
        <v>624</v>
      </c>
      <c r="G17" s="3">
        <v>174</v>
      </c>
      <c r="H17" s="18">
        <f t="shared" si="1"/>
        <v>26.674500587544063</v>
      </c>
      <c r="I17" s="22">
        <f t="shared" si="0"/>
        <v>16.975609756097562</v>
      </c>
      <c r="J17" s="4"/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9"/>
      <c r="C18" s="24" t="s">
        <v>18</v>
      </c>
      <c r="D18" s="24"/>
      <c r="E18" s="24"/>
      <c r="F18" s="24"/>
      <c r="G18" s="24"/>
      <c r="H18" s="25"/>
      <c r="I18" s="26"/>
      <c r="J18" s="4"/>
      <c r="K18" s="1" t="s">
        <v>19</v>
      </c>
      <c r="L18" s="11">
        <v>33.333333333333329</v>
      </c>
      <c r="M18" s="1" t="s">
        <v>19</v>
      </c>
      <c r="N18" s="11">
        <v>35.777126099706749</v>
      </c>
      <c r="O18" s="1" t="s">
        <v>14</v>
      </c>
      <c r="P18" s="11">
        <v>35.623159960745831</v>
      </c>
    </row>
    <row r="19" spans="2:16" x14ac:dyDescent="0.3">
      <c r="B19" s="43" t="s">
        <v>22</v>
      </c>
      <c r="C19" s="1" t="s">
        <v>15</v>
      </c>
      <c r="D19" s="1">
        <v>373</v>
      </c>
      <c r="E19" s="1">
        <v>96</v>
      </c>
      <c r="F19" s="1">
        <v>277</v>
      </c>
      <c r="G19" s="1">
        <v>652</v>
      </c>
      <c r="H19" s="19">
        <f t="shared" si="1"/>
        <v>25.737265415549597</v>
      </c>
      <c r="I19" s="23">
        <f>(G19/$D$29)*100</f>
        <v>63.609756097560975</v>
      </c>
      <c r="J19" s="4"/>
      <c r="K19" s="1" t="s">
        <v>14</v>
      </c>
      <c r="L19" s="11">
        <v>32.77723258096173</v>
      </c>
      <c r="M19" s="1" t="s">
        <v>14</v>
      </c>
      <c r="N19" s="11">
        <v>34.867776689520078</v>
      </c>
      <c r="O19" s="1" t="s">
        <v>19</v>
      </c>
      <c r="P19" s="11">
        <v>35.170340681362724</v>
      </c>
    </row>
    <row r="20" spans="2:16" x14ac:dyDescent="0.3">
      <c r="B20" s="43"/>
      <c r="C20" s="1" t="s">
        <v>16</v>
      </c>
      <c r="D20" s="1">
        <v>784</v>
      </c>
      <c r="E20" s="1">
        <v>242</v>
      </c>
      <c r="F20" s="1">
        <v>542</v>
      </c>
      <c r="G20" s="1">
        <v>241</v>
      </c>
      <c r="H20" s="19">
        <f t="shared" si="1"/>
        <v>30.867346938775508</v>
      </c>
      <c r="I20" s="23">
        <f>(G20/$D$29)*100</f>
        <v>23.512195121951219</v>
      </c>
      <c r="J20" s="4"/>
      <c r="K20" s="1" t="s">
        <v>17</v>
      </c>
      <c r="L20" s="11">
        <v>30.031612223393044</v>
      </c>
      <c r="M20" s="1" t="s">
        <v>17</v>
      </c>
      <c r="N20" s="11">
        <v>32.376237623762378</v>
      </c>
      <c r="O20" s="1" t="s">
        <v>17</v>
      </c>
      <c r="P20" s="11">
        <v>33.233830845771145</v>
      </c>
    </row>
    <row r="21" spans="2:16" x14ac:dyDescent="0.3">
      <c r="B21" s="43"/>
      <c r="C21" s="1" t="s">
        <v>18</v>
      </c>
      <c r="D21" s="1">
        <v>268</v>
      </c>
      <c r="E21" s="1">
        <v>70</v>
      </c>
      <c r="F21" s="1">
        <v>198</v>
      </c>
      <c r="G21" s="1">
        <v>757</v>
      </c>
      <c r="H21" s="19">
        <f t="shared" si="1"/>
        <v>26.119402985074625</v>
      </c>
      <c r="I21" s="23">
        <f>(G21/$D$29)*100</f>
        <v>73.853658536585371</v>
      </c>
      <c r="J21" s="4"/>
      <c r="K21" s="1" t="s">
        <v>22</v>
      </c>
      <c r="L21" s="11">
        <v>26.119402985074625</v>
      </c>
      <c r="M21" s="1" t="s">
        <v>23</v>
      </c>
      <c r="N21" s="11">
        <v>31.25925925925926</v>
      </c>
      <c r="O21" s="1" t="s">
        <v>21</v>
      </c>
      <c r="P21" s="11">
        <v>26.1139896373057</v>
      </c>
    </row>
    <row r="22" spans="2:16" x14ac:dyDescent="0.3">
      <c r="B22" s="50" t="s">
        <v>23</v>
      </c>
      <c r="C22" s="3" t="s">
        <v>15</v>
      </c>
      <c r="D22" s="3">
        <v>193</v>
      </c>
      <c r="E22" s="3">
        <v>48</v>
      </c>
      <c r="F22" s="3">
        <v>145</v>
      </c>
      <c r="G22" s="3">
        <v>832</v>
      </c>
      <c r="H22" s="18">
        <f t="shared" si="1"/>
        <v>24.870466321243523</v>
      </c>
      <c r="I22" s="22">
        <f>(G22/$D$29)*100</f>
        <v>81.170731707317074</v>
      </c>
      <c r="J22" s="4"/>
      <c r="K22" s="1" t="s">
        <v>20</v>
      </c>
      <c r="L22" s="11">
        <v>23.877917414721722</v>
      </c>
      <c r="M22" s="1" t="s">
        <v>22</v>
      </c>
      <c r="N22" s="11">
        <v>30.867346938775508</v>
      </c>
      <c r="O22" s="1" t="s">
        <v>22</v>
      </c>
      <c r="P22" s="11">
        <v>25.737265415549597</v>
      </c>
    </row>
    <row r="23" spans="2:16" x14ac:dyDescent="0.3">
      <c r="B23" s="51"/>
      <c r="C23" s="3" t="s">
        <v>16</v>
      </c>
      <c r="D23" s="5">
        <v>675</v>
      </c>
      <c r="E23" s="5">
        <v>211</v>
      </c>
      <c r="F23" s="5">
        <v>464</v>
      </c>
      <c r="G23" s="5">
        <v>350</v>
      </c>
      <c r="H23" s="18">
        <f t="shared" si="1"/>
        <v>31.25925925925926</v>
      </c>
      <c r="I23" s="22">
        <f>(G23/$D$29)*100</f>
        <v>34.146341463414636</v>
      </c>
      <c r="J23" s="4"/>
      <c r="M23" s="1" t="s">
        <v>21</v>
      </c>
      <c r="N23" s="11">
        <v>26.674500587544063</v>
      </c>
      <c r="O23" s="1" t="s">
        <v>20</v>
      </c>
      <c r="P23" s="11">
        <v>25.622775800711743</v>
      </c>
    </row>
    <row r="24" spans="2:16" x14ac:dyDescent="0.3">
      <c r="B24" s="51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20</v>
      </c>
      <c r="N24" s="11">
        <v>22.547584187408493</v>
      </c>
      <c r="O24" s="1" t="s">
        <v>23</v>
      </c>
      <c r="P24" s="11">
        <v>24.870466321243523</v>
      </c>
    </row>
    <row r="25" spans="2:16" x14ac:dyDescent="0.3">
      <c r="J25" s="4"/>
    </row>
    <row r="26" spans="2:16" x14ac:dyDescent="0.3">
      <c r="J26" s="4"/>
    </row>
    <row r="27" spans="2:16" x14ac:dyDescent="0.3">
      <c r="B27" s="41" t="s">
        <v>27</v>
      </c>
      <c r="C27" s="41"/>
      <c r="D27" s="41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1025</v>
      </c>
      <c r="D29" s="12">
        <v>1025</v>
      </c>
    </row>
    <row r="30" spans="2:16" x14ac:dyDescent="0.3">
      <c r="B30" s="15" t="s">
        <v>32</v>
      </c>
      <c r="C30" s="12">
        <v>0</v>
      </c>
      <c r="D30" s="12"/>
    </row>
    <row r="31" spans="2:16" x14ac:dyDescent="0.3">
      <c r="B31" s="15" t="s">
        <v>33</v>
      </c>
      <c r="C31" s="12">
        <f>SUM(C29:C30)</f>
        <v>1025</v>
      </c>
      <c r="D31" s="12">
        <f t="shared" ref="D31" si="2">SUM(D29:D30)</f>
        <v>1025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3560-26BB-46E4-B45A-0558292634D7}">
  <sheetPr>
    <tabColor theme="8" tint="0.59999389629810485"/>
  </sheetPr>
  <dimension ref="B2:P31"/>
  <sheetViews>
    <sheetView zoomScale="72" workbookViewId="0">
      <selection activeCell="H4" sqref="H4:H24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7" t="s">
        <v>34</v>
      </c>
      <c r="C2" s="38"/>
      <c r="D2" s="38"/>
      <c r="E2" s="38"/>
      <c r="F2" s="38"/>
      <c r="G2" s="38"/>
      <c r="H2" s="38"/>
      <c r="I2" s="38"/>
      <c r="K2" s="42" t="s">
        <v>1</v>
      </c>
      <c r="L2" s="42"/>
      <c r="M2" s="42"/>
      <c r="N2" s="42"/>
      <c r="O2" s="42"/>
      <c r="P2" s="42"/>
    </row>
    <row r="3" spans="2:16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43" t="s">
        <v>14</v>
      </c>
      <c r="C4" s="3" t="s">
        <v>15</v>
      </c>
      <c r="D4" s="3">
        <v>1008</v>
      </c>
      <c r="E4" s="3">
        <v>465</v>
      </c>
      <c r="F4" s="3">
        <v>543</v>
      </c>
      <c r="G4" s="3">
        <v>2</v>
      </c>
      <c r="H4" s="18">
        <f>(E4/D4)*100</f>
        <v>46.130952380952387</v>
      </c>
      <c r="I4" s="22">
        <f t="shared" ref="I4:I17" si="0">(G4/$D$29)*100</f>
        <v>0.19801980198019803</v>
      </c>
      <c r="J4" s="4"/>
      <c r="K4" s="14" t="s">
        <v>14</v>
      </c>
      <c r="L4" s="7">
        <f>H5-H6</f>
        <v>2.8264898773880844</v>
      </c>
      <c r="M4" s="8"/>
      <c r="N4" s="7">
        <f>H4-H5</f>
        <v>1.4880952380952408</v>
      </c>
      <c r="O4" s="8"/>
      <c r="P4" s="7">
        <f>H4-H6</f>
        <v>4.3145851154833252</v>
      </c>
    </row>
    <row r="5" spans="2:16" x14ac:dyDescent="0.3">
      <c r="B5" s="43"/>
      <c r="C5" s="3" t="s">
        <v>16</v>
      </c>
      <c r="D5" s="3">
        <v>1008</v>
      </c>
      <c r="E5" s="3">
        <v>450</v>
      </c>
      <c r="F5" s="3">
        <v>558</v>
      </c>
      <c r="G5" s="3">
        <v>2</v>
      </c>
      <c r="H5" s="18">
        <f t="shared" ref="H5:H23" si="1">(E5/D5)*100</f>
        <v>44.642857142857146</v>
      </c>
      <c r="I5" s="22">
        <f t="shared" si="0"/>
        <v>0.19801980198019803</v>
      </c>
      <c r="J5" s="4"/>
      <c r="K5" s="14" t="s">
        <v>17</v>
      </c>
      <c r="L5" s="7">
        <f>H8-H9</f>
        <v>7.5848521226672503</v>
      </c>
      <c r="M5" s="8"/>
      <c r="N5" s="7">
        <f>H7-H8</f>
        <v>0.88688647336758208</v>
      </c>
      <c r="O5" s="8"/>
      <c r="P5" s="7">
        <f>H7-H9</f>
        <v>8.4717385960348324</v>
      </c>
    </row>
    <row r="6" spans="2:16" x14ac:dyDescent="0.3">
      <c r="B6" s="43"/>
      <c r="C6" s="3" t="s">
        <v>18</v>
      </c>
      <c r="D6" s="3">
        <v>1002</v>
      </c>
      <c r="E6" s="3">
        <v>419</v>
      </c>
      <c r="F6" s="3">
        <v>583</v>
      </c>
      <c r="G6" s="3">
        <v>8</v>
      </c>
      <c r="H6" s="18">
        <f t="shared" si="1"/>
        <v>41.816367265469061</v>
      </c>
      <c r="I6" s="22">
        <f t="shared" si="0"/>
        <v>0.79207920792079212</v>
      </c>
      <c r="J6" s="4"/>
      <c r="K6" s="14" t="s">
        <v>19</v>
      </c>
      <c r="L6" s="7">
        <f>H11-H12</f>
        <v>0.11774422610114499</v>
      </c>
      <c r="M6" s="8"/>
      <c r="N6" s="7">
        <f>H10-H11</f>
        <v>-0.46138613861386091</v>
      </c>
      <c r="O6" s="8"/>
      <c r="P6" s="7">
        <f>H10-H12</f>
        <v>-0.34364191251271592</v>
      </c>
    </row>
    <row r="7" spans="2:16" x14ac:dyDescent="0.3">
      <c r="B7" s="43" t="s">
        <v>17</v>
      </c>
      <c r="C7" s="1" t="s">
        <v>15</v>
      </c>
      <c r="D7" s="1">
        <v>1006</v>
      </c>
      <c r="E7" s="1">
        <v>427</v>
      </c>
      <c r="F7" s="1">
        <v>579</v>
      </c>
      <c r="G7" s="1">
        <v>4</v>
      </c>
      <c r="H7" s="19">
        <f t="shared" si="1"/>
        <v>42.44532803180914</v>
      </c>
      <c r="I7" s="22">
        <f t="shared" si="0"/>
        <v>0.39603960396039606</v>
      </c>
      <c r="J7" s="4"/>
      <c r="K7" s="14" t="s">
        <v>20</v>
      </c>
      <c r="L7" s="7">
        <f>H14-H15</f>
        <v>-0.88776642559216157</v>
      </c>
      <c r="M7" s="8"/>
      <c r="N7" s="7">
        <f>H13-H14</f>
        <v>0.59097277016472916</v>
      </c>
      <c r="O7" s="8"/>
      <c r="P7" s="7">
        <f>H13-H15</f>
        <v>-0.29679365542743241</v>
      </c>
    </row>
    <row r="8" spans="2:16" x14ac:dyDescent="0.3">
      <c r="B8" s="43"/>
      <c r="C8" s="1" t="s">
        <v>16</v>
      </c>
      <c r="D8" s="1">
        <v>1001</v>
      </c>
      <c r="E8" s="1">
        <v>416</v>
      </c>
      <c r="F8" s="1">
        <v>585</v>
      </c>
      <c r="G8" s="1">
        <v>9</v>
      </c>
      <c r="H8" s="19">
        <f t="shared" si="1"/>
        <v>41.558441558441558</v>
      </c>
      <c r="I8" s="22">
        <f t="shared" si="0"/>
        <v>0.89108910891089099</v>
      </c>
      <c r="J8" s="4"/>
      <c r="K8" s="14" t="s">
        <v>21</v>
      </c>
      <c r="L8" s="9"/>
      <c r="M8" s="7">
        <f>H17-H14</f>
        <v>4.8485667522561045</v>
      </c>
      <c r="N8" s="7">
        <f>H16-H17</f>
        <v>2.765303309797936</v>
      </c>
      <c r="O8" s="7">
        <f>H16-H13</f>
        <v>7.0228972918893113</v>
      </c>
      <c r="P8" s="7">
        <f>H16-H15</f>
        <v>6.7261036364618789</v>
      </c>
    </row>
    <row r="9" spans="2:16" x14ac:dyDescent="0.3">
      <c r="B9" s="43"/>
      <c r="C9" s="1" t="s">
        <v>18</v>
      </c>
      <c r="D9" s="1">
        <v>833</v>
      </c>
      <c r="E9" s="1">
        <v>283</v>
      </c>
      <c r="F9" s="1">
        <v>550</v>
      </c>
      <c r="G9" s="1">
        <v>177</v>
      </c>
      <c r="H9" s="19">
        <f t="shared" si="1"/>
        <v>33.973589435774308</v>
      </c>
      <c r="I9" s="22">
        <f t="shared" si="0"/>
        <v>17.524752475247524</v>
      </c>
      <c r="J9" s="4"/>
      <c r="K9" s="14" t="s">
        <v>22</v>
      </c>
      <c r="L9" s="7">
        <f>H20-H21</f>
        <v>22.792659150631515</v>
      </c>
      <c r="M9" s="8"/>
      <c r="N9" s="7">
        <f>H19-H20</f>
        <v>-6.7341612071998398</v>
      </c>
      <c r="O9" s="8"/>
      <c r="P9" s="7">
        <f>H19-H21</f>
        <v>16.058497943431675</v>
      </c>
    </row>
    <row r="10" spans="2:16" x14ac:dyDescent="0.3">
      <c r="B10" s="43" t="s">
        <v>19</v>
      </c>
      <c r="C10" s="3" t="s">
        <v>15</v>
      </c>
      <c r="D10" s="3">
        <v>1000</v>
      </c>
      <c r="E10" s="3">
        <v>434</v>
      </c>
      <c r="F10" s="3">
        <v>566</v>
      </c>
      <c r="G10" s="3">
        <v>10</v>
      </c>
      <c r="H10" s="18">
        <f t="shared" si="1"/>
        <v>43.4</v>
      </c>
      <c r="I10" s="22">
        <f t="shared" si="0"/>
        <v>0.99009900990099009</v>
      </c>
      <c r="J10" s="4"/>
      <c r="K10" s="14" t="s">
        <v>23</v>
      </c>
      <c r="L10" s="9"/>
      <c r="M10" s="7">
        <f>H23-H20</f>
        <v>-3.3772920188681397</v>
      </c>
      <c r="N10" s="7">
        <f>H22-H23</f>
        <v>-16.919911128342012</v>
      </c>
      <c r="O10" s="7">
        <f>H22-H20</f>
        <v>-20.297203147210151</v>
      </c>
      <c r="P10" s="7">
        <f>H22-H21</f>
        <v>2.4954560034213635</v>
      </c>
    </row>
    <row r="11" spans="2:16" x14ac:dyDescent="0.3">
      <c r="B11" s="43"/>
      <c r="C11" s="3" t="s">
        <v>16</v>
      </c>
      <c r="D11" s="3">
        <v>1010</v>
      </c>
      <c r="E11" s="3">
        <v>443</v>
      </c>
      <c r="F11" s="3">
        <v>567</v>
      </c>
      <c r="G11" s="3">
        <v>0</v>
      </c>
      <c r="H11" s="18">
        <f t="shared" si="1"/>
        <v>43.861386138613859</v>
      </c>
      <c r="I11" s="22">
        <f t="shared" si="0"/>
        <v>0</v>
      </c>
      <c r="J11" s="4"/>
    </row>
    <row r="12" spans="2:16" x14ac:dyDescent="0.3">
      <c r="B12" s="43"/>
      <c r="C12" s="3" t="s">
        <v>18</v>
      </c>
      <c r="D12" s="3">
        <v>983</v>
      </c>
      <c r="E12" s="3">
        <v>430</v>
      </c>
      <c r="F12" s="3">
        <v>553</v>
      </c>
      <c r="G12" s="3">
        <v>27</v>
      </c>
      <c r="H12" s="18">
        <f t="shared" si="1"/>
        <v>43.743641912512714</v>
      </c>
      <c r="I12" s="22">
        <f t="shared" si="0"/>
        <v>2.6732673267326734</v>
      </c>
      <c r="J12" s="4"/>
    </row>
    <row r="13" spans="2:16" x14ac:dyDescent="0.3">
      <c r="B13" s="43" t="s">
        <v>20</v>
      </c>
      <c r="C13" s="1" t="s">
        <v>15</v>
      </c>
      <c r="D13" s="1">
        <v>442</v>
      </c>
      <c r="E13" s="1">
        <v>108</v>
      </c>
      <c r="F13" s="1">
        <v>334</v>
      </c>
      <c r="G13" s="1">
        <v>568</v>
      </c>
      <c r="H13" s="19">
        <f t="shared" si="1"/>
        <v>24.434389140271492</v>
      </c>
      <c r="I13" s="22">
        <f t="shared" si="0"/>
        <v>56.237623762376245</v>
      </c>
      <c r="J13" s="4"/>
    </row>
    <row r="14" spans="2:16" x14ac:dyDescent="0.3">
      <c r="B14" s="43"/>
      <c r="C14" s="1" t="s">
        <v>16</v>
      </c>
      <c r="D14" s="1">
        <v>562</v>
      </c>
      <c r="E14" s="1">
        <v>134</v>
      </c>
      <c r="F14" s="1">
        <v>428</v>
      </c>
      <c r="G14" s="1">
        <v>448</v>
      </c>
      <c r="H14" s="19">
        <f t="shared" si="1"/>
        <v>23.843416370106763</v>
      </c>
      <c r="I14" s="22">
        <f t="shared" si="0"/>
        <v>44.35643564356436</v>
      </c>
      <c r="J14" s="4"/>
    </row>
    <row r="15" spans="2:16" x14ac:dyDescent="0.3">
      <c r="B15" s="43"/>
      <c r="C15" s="1" t="s">
        <v>18</v>
      </c>
      <c r="D15" s="1">
        <v>186</v>
      </c>
      <c r="E15" s="1">
        <v>46</v>
      </c>
      <c r="F15" s="1">
        <v>140</v>
      </c>
      <c r="G15" s="1">
        <v>824</v>
      </c>
      <c r="H15" s="19">
        <f t="shared" si="1"/>
        <v>24.731182795698924</v>
      </c>
      <c r="I15" s="22">
        <f t="shared" si="0"/>
        <v>81.584158415841586</v>
      </c>
      <c r="J15" s="4"/>
      <c r="K15" s="44" t="s">
        <v>24</v>
      </c>
      <c r="L15" s="45"/>
      <c r="M15" s="45"/>
      <c r="N15" s="45"/>
      <c r="O15" s="45"/>
      <c r="P15" s="46"/>
    </row>
    <row r="16" spans="2:16" x14ac:dyDescent="0.3">
      <c r="B16" s="47" t="s">
        <v>21</v>
      </c>
      <c r="C16" s="3" t="s">
        <v>15</v>
      </c>
      <c r="D16" s="3">
        <v>995</v>
      </c>
      <c r="E16" s="3">
        <v>313</v>
      </c>
      <c r="F16" s="3">
        <v>682</v>
      </c>
      <c r="G16" s="3">
        <v>14</v>
      </c>
      <c r="H16" s="18">
        <f t="shared" si="1"/>
        <v>31.457286432160803</v>
      </c>
      <c r="I16" s="22">
        <f t="shared" si="0"/>
        <v>1.3861386138613863</v>
      </c>
      <c r="J16" s="4"/>
      <c r="K16" s="52" t="s">
        <v>25</v>
      </c>
      <c r="L16" s="53"/>
      <c r="M16" s="52" t="s">
        <v>16</v>
      </c>
      <c r="N16" s="53"/>
      <c r="O16" s="52" t="s">
        <v>15</v>
      </c>
      <c r="P16" s="53"/>
    </row>
    <row r="17" spans="2:16" x14ac:dyDescent="0.3">
      <c r="B17" s="48"/>
      <c r="C17" s="3" t="s">
        <v>16</v>
      </c>
      <c r="D17" s="3">
        <v>948</v>
      </c>
      <c r="E17" s="3">
        <v>272</v>
      </c>
      <c r="F17" s="3">
        <v>676</v>
      </c>
      <c r="G17" s="3">
        <v>62</v>
      </c>
      <c r="H17" s="18">
        <f t="shared" si="1"/>
        <v>28.691983122362867</v>
      </c>
      <c r="I17" s="22">
        <f t="shared" si="0"/>
        <v>6.1386138613861387</v>
      </c>
      <c r="J17" s="4"/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9"/>
      <c r="C18" s="24" t="s">
        <v>18</v>
      </c>
      <c r="D18" s="24"/>
      <c r="E18" s="24"/>
      <c r="F18" s="24"/>
      <c r="G18" s="24"/>
      <c r="H18" s="24"/>
      <c r="I18" s="26"/>
      <c r="J18" s="4"/>
      <c r="K18" s="1" t="s">
        <v>19</v>
      </c>
      <c r="L18" s="11">
        <v>43.743641912512714</v>
      </c>
      <c r="M18" s="1" t="s">
        <v>22</v>
      </c>
      <c r="N18" s="11">
        <v>44.920318725099598</v>
      </c>
      <c r="O18" s="1" t="s">
        <v>14</v>
      </c>
      <c r="P18" s="11">
        <v>46.130952380952387</v>
      </c>
    </row>
    <row r="19" spans="2:16" x14ac:dyDescent="0.3">
      <c r="B19" s="43" t="s">
        <v>22</v>
      </c>
      <c r="C19" s="1" t="s">
        <v>15</v>
      </c>
      <c r="D19" s="1">
        <v>419</v>
      </c>
      <c r="E19" s="1">
        <v>160</v>
      </c>
      <c r="F19" s="1">
        <v>259</v>
      </c>
      <c r="G19" s="1">
        <v>591</v>
      </c>
      <c r="H19" s="19">
        <f t="shared" si="1"/>
        <v>38.186157517899758</v>
      </c>
      <c r="I19" s="23">
        <f>(G19/$D$29)*100</f>
        <v>58.514851485148512</v>
      </c>
      <c r="J19" s="4"/>
      <c r="K19" s="1" t="s">
        <v>14</v>
      </c>
      <c r="L19" s="11">
        <v>41.816367265469061</v>
      </c>
      <c r="M19" s="1" t="s">
        <v>14</v>
      </c>
      <c r="N19" s="11">
        <v>44.642857142857146</v>
      </c>
      <c r="O19" s="1" t="s">
        <v>19</v>
      </c>
      <c r="P19" s="11">
        <v>43.4</v>
      </c>
    </row>
    <row r="20" spans="2:16" x14ac:dyDescent="0.3">
      <c r="B20" s="43"/>
      <c r="C20" s="1" t="s">
        <v>16</v>
      </c>
      <c r="D20" s="1">
        <v>1004</v>
      </c>
      <c r="E20" s="1">
        <v>451</v>
      </c>
      <c r="F20" s="1">
        <v>553</v>
      </c>
      <c r="G20" s="1">
        <v>6</v>
      </c>
      <c r="H20" s="19">
        <f t="shared" si="1"/>
        <v>44.920318725099598</v>
      </c>
      <c r="I20" s="23">
        <f>(G20/$D$29)*100</f>
        <v>0.59405940594059403</v>
      </c>
      <c r="J20" s="4"/>
      <c r="K20" s="1" t="s">
        <v>17</v>
      </c>
      <c r="L20" s="11">
        <v>33.973589435774308</v>
      </c>
      <c r="M20" s="1" t="s">
        <v>19</v>
      </c>
      <c r="N20" s="11">
        <v>43.861386138613859</v>
      </c>
      <c r="O20" s="1" t="s">
        <v>17</v>
      </c>
      <c r="P20" s="11">
        <v>42.44532803180914</v>
      </c>
    </row>
    <row r="21" spans="2:16" x14ac:dyDescent="0.3">
      <c r="B21" s="43"/>
      <c r="C21" s="1" t="s">
        <v>18</v>
      </c>
      <c r="D21" s="1">
        <v>235</v>
      </c>
      <c r="E21" s="1">
        <v>52</v>
      </c>
      <c r="F21" s="1">
        <v>183</v>
      </c>
      <c r="G21" s="1">
        <v>775</v>
      </c>
      <c r="H21" s="19">
        <f t="shared" si="1"/>
        <v>22.127659574468083</v>
      </c>
      <c r="I21" s="23">
        <f>(G21/$D$29)*100</f>
        <v>76.732673267326732</v>
      </c>
      <c r="J21" s="4"/>
      <c r="K21" s="1" t="s">
        <v>20</v>
      </c>
      <c r="L21" s="11">
        <v>24.731182795698924</v>
      </c>
      <c r="M21" s="1" t="s">
        <v>17</v>
      </c>
      <c r="N21" s="11">
        <v>41.558441558441558</v>
      </c>
      <c r="O21" s="1" t="s">
        <v>22</v>
      </c>
      <c r="P21" s="11">
        <v>38.186157517899758</v>
      </c>
    </row>
    <row r="22" spans="2:16" x14ac:dyDescent="0.3">
      <c r="B22" s="50" t="s">
        <v>23</v>
      </c>
      <c r="C22" s="3" t="s">
        <v>15</v>
      </c>
      <c r="D22" s="3">
        <v>199</v>
      </c>
      <c r="E22" s="3">
        <v>49</v>
      </c>
      <c r="F22" s="3">
        <v>150</v>
      </c>
      <c r="G22" s="3">
        <v>811</v>
      </c>
      <c r="H22" s="18">
        <f t="shared" si="1"/>
        <v>24.623115577889447</v>
      </c>
      <c r="I22" s="22">
        <f>(G22/$D$29)*100</f>
        <v>80.297029702970306</v>
      </c>
      <c r="J22" s="4"/>
      <c r="K22" s="1" t="s">
        <v>22</v>
      </c>
      <c r="L22" s="11">
        <v>22.127659574468083</v>
      </c>
      <c r="M22" s="1" t="s">
        <v>23</v>
      </c>
      <c r="N22" s="11">
        <v>41.543026706231458</v>
      </c>
      <c r="O22" s="1" t="s">
        <v>21</v>
      </c>
      <c r="P22" s="11">
        <v>31.457286432160803</v>
      </c>
    </row>
    <row r="23" spans="2:16" x14ac:dyDescent="0.3">
      <c r="B23" s="51"/>
      <c r="C23" s="3" t="s">
        <v>16</v>
      </c>
      <c r="D23" s="5">
        <v>337</v>
      </c>
      <c r="E23" s="5">
        <v>140</v>
      </c>
      <c r="F23" s="5">
        <v>197</v>
      </c>
      <c r="G23" s="5">
        <v>673</v>
      </c>
      <c r="H23" s="18">
        <f t="shared" si="1"/>
        <v>41.543026706231458</v>
      </c>
      <c r="I23" s="22">
        <f>(G23/$D$29)*100</f>
        <v>66.633663366336634</v>
      </c>
      <c r="J23" s="4"/>
      <c r="M23" s="1" t="s">
        <v>21</v>
      </c>
      <c r="N23" s="11">
        <v>28.691983122362867</v>
      </c>
      <c r="O23" s="1" t="s">
        <v>23</v>
      </c>
      <c r="P23" s="11">
        <v>24.623115577889447</v>
      </c>
    </row>
    <row r="24" spans="2:16" x14ac:dyDescent="0.3">
      <c r="B24" s="51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20</v>
      </c>
      <c r="N24" s="11">
        <v>23.843416370106763</v>
      </c>
      <c r="O24" s="1" t="s">
        <v>20</v>
      </c>
      <c r="P24" s="11">
        <v>24.434389140271492</v>
      </c>
    </row>
    <row r="25" spans="2:16" x14ac:dyDescent="0.3">
      <c r="J25" s="4"/>
    </row>
    <row r="26" spans="2:16" x14ac:dyDescent="0.3">
      <c r="J26" s="4"/>
    </row>
    <row r="27" spans="2:16" x14ac:dyDescent="0.3">
      <c r="B27" s="41" t="s">
        <v>27</v>
      </c>
      <c r="C27" s="41"/>
      <c r="D27" s="41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1010</v>
      </c>
      <c r="D29" s="12">
        <v>1010</v>
      </c>
    </row>
    <row r="30" spans="2:16" x14ac:dyDescent="0.3">
      <c r="B30" s="15" t="s">
        <v>32</v>
      </c>
      <c r="C30" s="12">
        <v>0</v>
      </c>
      <c r="D30" s="12"/>
    </row>
    <row r="31" spans="2:16" x14ac:dyDescent="0.3">
      <c r="B31" s="15" t="s">
        <v>33</v>
      </c>
      <c r="C31" s="12">
        <f>SUM(C29:C30)</f>
        <v>1010</v>
      </c>
      <c r="D31" s="12">
        <f t="shared" ref="D31" si="2">SUM(D29:D30)</f>
        <v>1010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RAG</vt:lpstr>
      <vt:lpstr>Prueba_BIOLOGIA_2020</vt:lpstr>
      <vt:lpstr>Global</vt:lpstr>
      <vt:lpstr>Grafícas</vt:lpstr>
      <vt:lpstr>MEDICINA</vt:lpstr>
      <vt:lpstr>ENFERMERÍA</vt:lpstr>
      <vt:lpstr>BIOLOGÍA</vt:lpstr>
      <vt:lpstr>FARMACIA</vt:lpstr>
      <vt:lpstr>PSICOLOGÍA</vt:lpstr>
      <vt:lpstr>FÍSICA</vt:lpstr>
      <vt:lpstr>QUÍMICA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 Ariceta García</dc:creator>
  <cp:keywords/>
  <dc:description/>
  <cp:lastModifiedBy>Lorena Ariceta García</cp:lastModifiedBy>
  <cp:revision/>
  <dcterms:created xsi:type="dcterms:W3CDTF">2015-06-05T18:19:34Z</dcterms:created>
  <dcterms:modified xsi:type="dcterms:W3CDTF">2025-10-08T15:47:23Z</dcterms:modified>
  <cp:category/>
  <cp:contentStatus/>
</cp:coreProperties>
</file>