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d56eb89965c5422/Escritorio/TFM_Final/results/3_rag/summary/"/>
    </mc:Choice>
  </mc:AlternateContent>
  <xr:revisionPtr revIDLastSave="9" documentId="11_2B59D2BFD3605D3697F831115986283275C7FC0B" xr6:coauthVersionLast="47" xr6:coauthVersionMax="47" xr10:uidLastSave="{D98F4578-3A41-4B67-A620-953EA768C5DB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0" i="1"/>
  <c r="G9" i="1"/>
  <c r="H9" i="1"/>
  <c r="I9" i="1"/>
  <c r="J9" i="1"/>
  <c r="F9" i="1"/>
  <c r="I3" i="1"/>
  <c r="I4" i="1"/>
  <c r="I5" i="1"/>
  <c r="I6" i="1"/>
  <c r="I7" i="1"/>
  <c r="I8" i="1"/>
  <c r="I2" i="1"/>
</calcChain>
</file>

<file path=xl/sharedStrings.xml><?xml version="1.0" encoding="utf-8"?>
<sst xmlns="http://schemas.openxmlformats.org/spreadsheetml/2006/main" count="53" uniqueCount="29">
  <si>
    <t>Specialization</t>
  </si>
  <si>
    <t>Source</t>
  </si>
  <si>
    <t>Model</t>
  </si>
  <si>
    <t>Version</t>
  </si>
  <si>
    <t>Lang</t>
  </si>
  <si>
    <t>Total questions</t>
  </si>
  <si>
    <t>Correct</t>
  </si>
  <si>
    <t>Errors</t>
  </si>
  <si>
    <t>No answer</t>
  </si>
  <si>
    <t>Accuracy (%)</t>
  </si>
  <si>
    <t>MetricsFile</t>
  </si>
  <si>
    <t>BIOLOGÍA</t>
  </si>
  <si>
    <t>Wikipedia</t>
  </si>
  <si>
    <t>llama3</t>
  </si>
  <si>
    <t>final</t>
  </si>
  <si>
    <t>es</t>
  </si>
  <si>
    <t>BIOLOGÍA_llama3_wikipedia_final_es_20251221_194113_metrics.xlsx</t>
  </si>
  <si>
    <t>ENFERMERÍA</t>
  </si>
  <si>
    <t>ENFERMERÍA_llama3_wikipedia_final_es_20251221_204005_metrics.xlsx</t>
  </si>
  <si>
    <t>FARMACIA</t>
  </si>
  <si>
    <t>FARMACIA_llama3_wikipedia_final_es_20251221_213934_metrics.xlsx</t>
  </si>
  <si>
    <t>FÍSICA</t>
  </si>
  <si>
    <t>FÍSICA_llama3_wikipedia_final_es_20251221_224652_metrics.xlsx</t>
  </si>
  <si>
    <t>MEDICINA</t>
  </si>
  <si>
    <t>MEDICINA_llama3_wikipedia_final_es_20251221_234419_metrics.xlsx</t>
  </si>
  <si>
    <t>PSICOLOGÍA</t>
  </si>
  <si>
    <t>PSICOLOGÍA_llama3_wikipedia_final_es_20251222_004241_metrics.xlsx</t>
  </si>
  <si>
    <t>QUÍMICA</t>
  </si>
  <si>
    <t>QUÍMICA_llama3_wikipedia_final_es_20251222_013824_metrics.xlsx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</si>
</sst>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B1" workbookViewId="0">
      <selection activeCell="H15" sqref="H15"/>
    </sheetView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1025</v>
      </c>
      <c r="G2">
        <v>614</v>
      </c>
      <c r="H2">
        <v>359</v>
      </c>
      <c r="I2">
        <f>G2+H2</f>
        <v>973</v>
      </c>
      <c r="J2">
        <v>23</v>
      </c>
      <c r="K2">
        <v>61.28</v>
      </c>
      <c r="L2" t="s">
        <v>16</v>
      </c>
    </row>
    <row r="3" spans="1:12" x14ac:dyDescent="0.3">
      <c r="A3" t="s">
        <v>17</v>
      </c>
      <c r="B3" t="s">
        <v>12</v>
      </c>
      <c r="C3" t="s">
        <v>13</v>
      </c>
      <c r="D3" t="s">
        <v>14</v>
      </c>
      <c r="E3" t="s">
        <v>15</v>
      </c>
      <c r="F3">
        <v>967</v>
      </c>
      <c r="G3">
        <v>418</v>
      </c>
      <c r="H3">
        <v>511</v>
      </c>
      <c r="I3">
        <f t="shared" ref="I3:I8" si="0">G3+H3</f>
        <v>929</v>
      </c>
      <c r="J3">
        <v>19</v>
      </c>
      <c r="K3">
        <v>44.09</v>
      </c>
      <c r="L3" t="s">
        <v>18</v>
      </c>
    </row>
    <row r="4" spans="1:12" x14ac:dyDescent="0.3">
      <c r="A4" t="s">
        <v>19</v>
      </c>
      <c r="B4" t="s">
        <v>12</v>
      </c>
      <c r="C4" t="s">
        <v>13</v>
      </c>
      <c r="D4" t="s">
        <v>14</v>
      </c>
      <c r="E4" t="s">
        <v>15</v>
      </c>
      <c r="F4">
        <v>1025</v>
      </c>
      <c r="G4">
        <v>492</v>
      </c>
      <c r="H4">
        <v>488</v>
      </c>
      <c r="I4">
        <f t="shared" si="0"/>
        <v>980</v>
      </c>
      <c r="J4">
        <v>29</v>
      </c>
      <c r="K4">
        <v>49.4</v>
      </c>
      <c r="L4" t="s">
        <v>20</v>
      </c>
    </row>
    <row r="5" spans="1:12" x14ac:dyDescent="0.3">
      <c r="A5" t="s">
        <v>21</v>
      </c>
      <c r="B5" t="s">
        <v>12</v>
      </c>
      <c r="C5" t="s">
        <v>13</v>
      </c>
      <c r="D5" t="s">
        <v>14</v>
      </c>
      <c r="E5" t="s">
        <v>15</v>
      </c>
      <c r="F5">
        <v>1025</v>
      </c>
      <c r="G5">
        <v>362</v>
      </c>
      <c r="H5">
        <v>626</v>
      </c>
      <c r="I5">
        <f t="shared" si="0"/>
        <v>988</v>
      </c>
      <c r="J5">
        <v>25</v>
      </c>
      <c r="K5">
        <v>36.200000000000003</v>
      </c>
      <c r="L5" t="s">
        <v>22</v>
      </c>
    </row>
    <row r="6" spans="1:12" x14ac:dyDescent="0.3">
      <c r="A6" t="s">
        <v>23</v>
      </c>
      <c r="B6" t="s">
        <v>12</v>
      </c>
      <c r="C6" t="s">
        <v>13</v>
      </c>
      <c r="D6" t="s">
        <v>14</v>
      </c>
      <c r="E6" t="s">
        <v>15</v>
      </c>
      <c r="F6">
        <v>900</v>
      </c>
      <c r="G6">
        <v>421</v>
      </c>
      <c r="H6">
        <v>443</v>
      </c>
      <c r="I6">
        <f t="shared" si="0"/>
        <v>864</v>
      </c>
      <c r="J6">
        <v>19</v>
      </c>
      <c r="K6">
        <v>47.79</v>
      </c>
      <c r="L6" t="s">
        <v>24</v>
      </c>
    </row>
    <row r="7" spans="1:12" x14ac:dyDescent="0.3">
      <c r="A7" t="s">
        <v>25</v>
      </c>
      <c r="B7" t="s">
        <v>12</v>
      </c>
      <c r="C7" t="s">
        <v>13</v>
      </c>
      <c r="D7" t="s">
        <v>14</v>
      </c>
      <c r="E7" t="s">
        <v>15</v>
      </c>
      <c r="F7">
        <v>1025</v>
      </c>
      <c r="G7">
        <v>458</v>
      </c>
      <c r="H7">
        <v>509</v>
      </c>
      <c r="I7">
        <f t="shared" si="0"/>
        <v>967</v>
      </c>
      <c r="J7">
        <v>26</v>
      </c>
      <c r="K7">
        <v>45.85</v>
      </c>
      <c r="L7" t="s">
        <v>26</v>
      </c>
    </row>
    <row r="8" spans="1:12" x14ac:dyDescent="0.3">
      <c r="A8" t="s">
        <v>27</v>
      </c>
      <c r="B8" t="s">
        <v>12</v>
      </c>
      <c r="C8" t="s">
        <v>13</v>
      </c>
      <c r="D8" t="s">
        <v>14</v>
      </c>
      <c r="E8" t="s">
        <v>15</v>
      </c>
      <c r="F8">
        <v>1010</v>
      </c>
      <c r="G8">
        <v>410</v>
      </c>
      <c r="H8">
        <v>532</v>
      </c>
      <c r="I8">
        <f t="shared" si="0"/>
        <v>942</v>
      </c>
      <c r="J8">
        <v>46</v>
      </c>
      <c r="K8">
        <v>42.53</v>
      </c>
      <c r="L8" t="s">
        <v>28</v>
      </c>
    </row>
    <row r="9" spans="1:12" x14ac:dyDescent="0.3">
      <c r="F9">
        <f>SUM(F2:F8)</f>
        <v>6977</v>
      </c>
      <c r="G9">
        <f t="shared" ref="G9:J9" si="1">SUM(G2:G8)</f>
        <v>3175</v>
      </c>
      <c r="H9">
        <f t="shared" si="1"/>
        <v>3468</v>
      </c>
      <c r="I9">
        <f t="shared" si="1"/>
        <v>6643</v>
      </c>
      <c r="J9">
        <f t="shared" si="1"/>
        <v>187</v>
      </c>
    </row>
    <row r="10" spans="1:12" x14ac:dyDescent="0.3">
      <c r="J10">
        <f>SUM(I9:J9)</f>
        <v>6830</v>
      </c>
    </row>
    <row r="11" spans="1:12" x14ac:dyDescent="0.3">
      <c r="J11">
        <f>F9-J9</f>
        <v>6790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Lorena Ariceta García</cp:lastModifiedBy>
  <dcterms:created xsi:type="dcterms:W3CDTF">2025-12-22T00:38:25Z</dcterms:created>
  <dcterms:modified xsi:type="dcterms:W3CDTF">2026-01-13T12:02:51Z</dcterms:modified>
</cp:coreProperties>
</file>